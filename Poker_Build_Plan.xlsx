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shboard" sheetId="1" state="visible" r:id="rId3"/>
    <sheet name="Task Assignment" sheetId="2" state="visible" r:id="rId4"/>
    <sheet name="Timeline" sheetId="3" state="visible" r:id="rId5"/>
    <sheet name="Milestones" sheetId="4" state="visible" r:id="rId6"/>
    <sheet name="Risk Management" sheetId="5" state="visible" r:id="rId7"/>
    <sheet name="Weekly Tracking" sheetId="6" state="visible" r:id="rId8"/>
    <sheet name="_Lists" sheetId="7" state="hidden" r:id="rId9"/>
  </sheets>
  <definedNames>
    <definedName function="false" hidden="true" localSheetId="1" name="_xlnm._FilterDatabase" vbProcedure="false">'Task Assignment'!$A$1:$L$1</definedName>
    <definedName function="false" hidden="true" localSheetId="2" name="_xlnm._FilterDatabase" vbProcedure="false">Timeline!$A$2:$N$82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<sst xmlns="http://schemas.openxmlformats.org/spreadsheetml/2006/main" count="921" uniqueCount="349">
  <si>
    <t xml:space="preserve">🎰 POKER PROJECT - BUILD PLAN</t>
  </si>
  <si>
    <t xml:space="preserve">AI Poker Texas | Start: 03/03/2026 | Duration: 8 weeks</t>
  </si>
  <si>
    <t xml:space="preserve">Thông tin dự án</t>
  </si>
  <si>
    <t xml:space="preserve">Chi tiết</t>
  </si>
  <si>
    <t xml:space="preserve">Tên dự án</t>
  </si>
  <si>
    <t xml:space="preserve">AI Poker Texas</t>
  </si>
  <si>
    <t xml:space="preserve">PM</t>
  </si>
  <si>
    <t xml:space="preserve">ToanNM</t>
  </si>
  <si>
    <t xml:space="preserve">Ngày bắt đầu</t>
  </si>
  <si>
    <t xml:space="preserve">03/03/2026</t>
  </si>
  <si>
    <t xml:space="preserve">Ngày kết thúc (dự kiến)</t>
  </si>
  <si>
    <t xml:space="preserve">28/04/2026</t>
  </si>
  <si>
    <t xml:space="preserve">Tổng số thành viên</t>
  </si>
  <si>
    <t xml:space="preserve">16</t>
  </si>
  <si>
    <t xml:space="preserve">Số team</t>
  </si>
  <si>
    <t xml:space="preserve">7 (Art, Dev, Design, Multimedia, PM, OP, QC)</t>
  </si>
  <si>
    <t xml:space="preserve">Trạng thái</t>
  </si>
  <si>
    <t xml:space="preserve">🟢 On Track</t>
  </si>
  <si>
    <t xml:space="preserve">📊 Phân bổ nhân sự theo Team</t>
  </si>
  <si>
    <t xml:space="preserve">Team</t>
  </si>
  <si>
    <t xml:space="preserve">Số thành viên</t>
  </si>
  <si>
    <t xml:space="preserve">Thành viên</t>
  </si>
  <si>
    <t xml:space="preserve">Lead</t>
  </si>
  <si>
    <t xml:space="preserve">Art</t>
  </si>
  <si>
    <t xml:space="preserve">HòaGTT, TuND4, NgocLA</t>
  </si>
  <si>
    <t xml:space="preserve">HòaGTT</t>
  </si>
  <si>
    <t xml:space="preserve">Dev</t>
  </si>
  <si>
    <t xml:space="preserve">CongNN, HuongBP, DienDQ, CongNT7, PhucNN, SonBNT</t>
  </si>
  <si>
    <t xml:space="preserve">CongNN</t>
  </si>
  <si>
    <t xml:space="preserve">Design</t>
  </si>
  <si>
    <t xml:space="preserve">LocPT, QuynhNH, BinhNT</t>
  </si>
  <si>
    <t xml:space="preserve">LocPT</t>
  </si>
  <si>
    <t xml:space="preserve">Multimedia</t>
  </si>
  <si>
    <t xml:space="preserve">HungVM2</t>
  </si>
  <si>
    <t xml:space="preserve">OP</t>
  </si>
  <si>
    <t xml:space="preserve">NienND</t>
  </si>
  <si>
    <t xml:space="preserve">QC</t>
  </si>
  <si>
    <t xml:space="preserve">NhanNT3</t>
  </si>
  <si>
    <t xml:space="preserve">📅 Các giai đoạn dự án</t>
  </si>
  <si>
    <t xml:space="preserve">Giai đoạn</t>
  </si>
  <si>
    <t xml:space="preserve">Bắt đầu</t>
  </si>
  <si>
    <t xml:space="preserve">Kết thúc</t>
  </si>
  <si>
    <t xml:space="preserve">Thời lượng</t>
  </si>
  <si>
    <t xml:space="preserve">Mô tả</t>
  </si>
  <si>
    <t xml:space="preserve">Pre-production</t>
  </si>
  <si>
    <t xml:space="preserve">17/03/2026</t>
  </si>
  <si>
    <t xml:space="preserve">2 tuần</t>
  </si>
  <si>
    <t xml:space="preserve">Concept, thiết kế game design, prototype</t>
  </si>
  <si>
    <t xml:space="preserve">Production</t>
  </si>
  <si>
    <t xml:space="preserve">18/03/2026</t>
  </si>
  <si>
    <t xml:space="preserve">14/04/2026</t>
  </si>
  <si>
    <t xml:space="preserve">4 tuần</t>
  </si>
  <si>
    <t xml:space="preserve">Build asset, coding, integration</t>
  </si>
  <si>
    <t xml:space="preserve">Testing &amp; QA</t>
  </si>
  <si>
    <t xml:space="preserve">15/04/2026</t>
  </si>
  <si>
    <t xml:space="preserve">Test, fix bug, polish, release</t>
  </si>
  <si>
    <t xml:space="preserve">ID</t>
  </si>
  <si>
    <t xml:space="preserve">Phase</t>
  </si>
  <si>
    <t xml:space="preserve">Task</t>
  </si>
  <si>
    <t xml:space="preserve">Assignee</t>
  </si>
  <si>
    <t xml:space="preserve">Priority</t>
  </si>
  <si>
    <t xml:space="preserve">Status</t>
  </si>
  <si>
    <t xml:space="preserve">Start Date</t>
  </si>
  <si>
    <t xml:space="preserve">End Date</t>
  </si>
  <si>
    <t xml:space="preserve">% Complete</t>
  </si>
  <si>
    <t xml:space="preserve">Dependencies</t>
  </si>
  <si>
    <t xml:space="preserve">Notes</t>
  </si>
  <si>
    <t xml:space="preserve">T001</t>
  </si>
  <si>
    <t xml:space="preserve">Game Design Document (GDD)</t>
  </si>
  <si>
    <t xml:space="preserve">High</t>
  </si>
  <si>
    <t xml:space="preserve">Not Started</t>
  </si>
  <si>
    <t xml:space="preserve">06/03/2026</t>
  </si>
  <si>
    <t xml:space="preserve">Tài liệu thiết kế game tổng thể</t>
  </si>
  <si>
    <t xml:space="preserve">T0038</t>
  </si>
  <si>
    <t xml:space="preserve">Design Bàn chơi</t>
  </si>
  <si>
    <t xml:space="preserve">QuynhNH</t>
  </si>
  <si>
    <t xml:space="preserve">Done</t>
  </si>
  <si>
    <t xml:space="preserve">100%</t>
  </si>
  <si>
    <t xml:space="preserve">T002</t>
  </si>
  <si>
    <t xml:space="preserve">UI/UX Wireframe - Lobby</t>
  </si>
  <si>
    <t xml:space="preserve">04/03/2026</t>
  </si>
  <si>
    <t xml:space="preserve">09/03/2026</t>
  </si>
  <si>
    <t xml:space="preserve">Wireframe màn hình lobby</t>
  </si>
  <si>
    <t xml:space="preserve">T003</t>
  </si>
  <si>
    <t xml:space="preserve">UI/UX Wireframe - Gameplay</t>
  </si>
  <si>
    <t xml:space="preserve">Wireframe màn chơi chính</t>
  </si>
  <si>
    <t xml:space="preserve">T004</t>
  </si>
  <si>
    <t xml:space="preserve">Art Style Guide</t>
  </si>
  <si>
    <t xml:space="preserve">05/03/2026</t>
  </si>
  <si>
    <t xml:space="preserve">10/03/2026</t>
  </si>
  <si>
    <t xml:space="preserve">Định hướng phong cách visual</t>
  </si>
  <si>
    <t xml:space="preserve">T005</t>
  </si>
  <si>
    <t xml:space="preserve">Technical Architecture</t>
  </si>
  <si>
    <t xml:space="preserve">08/03/2026</t>
  </si>
  <si>
    <t xml:space="preserve">Kiến trúc kỹ thuật, stack công nghệ</t>
  </si>
  <si>
    <t xml:space="preserve">T006</t>
  </si>
  <si>
    <t xml:space="preserve">Prototype - Core Gameplay</t>
  </si>
  <si>
    <t xml:space="preserve">HuongBP</t>
  </si>
  <si>
    <t xml:space="preserve">Medium</t>
  </si>
  <si>
    <t xml:space="preserve">15/03/2026</t>
  </si>
  <si>
    <t xml:space="preserve">Prototype logic chia bài, đặt cược</t>
  </si>
  <si>
    <t xml:space="preserve">T007</t>
  </si>
  <si>
    <t xml:space="preserve">QA Test Plan</t>
  </si>
  <si>
    <t xml:space="preserve">13/03/2026</t>
  </si>
  <si>
    <t xml:space="preserve">Lập kế hoạch test tổng thể</t>
  </si>
  <si>
    <t xml:space="preserve">T008</t>
  </si>
  <si>
    <t xml:space="preserve">Resource &amp; Timeline Planning</t>
  </si>
  <si>
    <t xml:space="preserve">Lập kế hoạch nguồn lực, timeline</t>
  </si>
  <si>
    <t xml:space="preserve">T009</t>
  </si>
  <si>
    <t xml:space="preserve">Card Design (52 lá bài)</t>
  </si>
  <si>
    <t xml:space="preserve">27/03/2026</t>
  </si>
  <si>
    <t xml:space="preserve">Thiết kế 52 lá bài + mặt sau</t>
  </si>
  <si>
    <t xml:space="preserve">T010</t>
  </si>
  <si>
    <t xml:space="preserve">Table &amp; Background Art</t>
  </si>
  <si>
    <t xml:space="preserve">TuND4</t>
  </si>
  <si>
    <t xml:space="preserve">25/03/2026</t>
  </si>
  <si>
    <t xml:space="preserve">Bàn chơi, background các phòng</t>
  </si>
  <si>
    <t xml:space="preserve">T011</t>
  </si>
  <si>
    <t xml:space="preserve">Character/Avatar Design</t>
  </si>
  <si>
    <t xml:space="preserve">NgocLA</t>
  </si>
  <si>
    <t xml:space="preserve">Avatar người chơi, dealer</t>
  </si>
  <si>
    <t xml:space="preserve">T012</t>
  </si>
  <si>
    <t xml:space="preserve">Chip &amp; Token Assets</t>
  </si>
  <si>
    <t xml:space="preserve">26/03/2026</t>
  </si>
  <si>
    <t xml:space="preserve">31/03/2026</t>
  </si>
  <si>
    <t xml:space="preserve">Chip, token, icon tiền</t>
  </si>
  <si>
    <t xml:space="preserve">T013</t>
  </si>
  <si>
    <t xml:space="preserve">UI Design - Lobby &amp; Menu</t>
  </si>
  <si>
    <t xml:space="preserve">UI hoàn chỉnh lobby, menu</t>
  </si>
  <si>
    <t xml:space="preserve">T014</t>
  </si>
  <si>
    <t xml:space="preserve">UI Design - Gameplay Screen</t>
  </si>
  <si>
    <t xml:space="preserve">UI màn chơi, action buttons</t>
  </si>
  <si>
    <t xml:space="preserve">T015</t>
  </si>
  <si>
    <t xml:space="preserve">UI Design - Shop &amp; Profile</t>
  </si>
  <si>
    <t xml:space="preserve">BinhNT</t>
  </si>
  <si>
    <t xml:space="preserve">23/03/2026</t>
  </si>
  <si>
    <t xml:space="preserve">30/03/2026</t>
  </si>
  <si>
    <t xml:space="preserve">UI cửa hàng, trang cá nhân</t>
  </si>
  <si>
    <t xml:space="preserve">T016</t>
  </si>
  <si>
    <t xml:space="preserve">UI Animation Specs</t>
  </si>
  <si>
    <t xml:space="preserve">T013,T014</t>
  </si>
  <si>
    <t xml:space="preserve">Spec chuyển động UI, transition</t>
  </si>
  <si>
    <t xml:space="preserve">T017</t>
  </si>
  <si>
    <t xml:space="preserve">Core Engine - Card Logic</t>
  </si>
  <si>
    <t xml:space="preserve">T005,T006</t>
  </si>
  <si>
    <t xml:space="preserve">Engine xử lý bài, tính tay bài</t>
  </si>
  <si>
    <t xml:space="preserve">T018</t>
  </si>
  <si>
    <t xml:space="preserve">Betting System</t>
  </si>
  <si>
    <t xml:space="preserve">Hệ thống đặt cược, pot, side pot</t>
  </si>
  <si>
    <t xml:space="preserve">T019</t>
  </si>
  <si>
    <t xml:space="preserve">Multiplayer/Networking</t>
  </si>
  <si>
    <t xml:space="preserve">DienDQ</t>
  </si>
  <si>
    <t xml:space="preserve">20/03/2026</t>
  </si>
  <si>
    <t xml:space="preserve">03/04/2026</t>
  </si>
  <si>
    <t xml:space="preserve">Kết nối multiplayer, room system</t>
  </si>
  <si>
    <t xml:space="preserve">T020</t>
  </si>
  <si>
    <t xml:space="preserve">UI Implementation - Lobby</t>
  </si>
  <si>
    <t xml:space="preserve">CongNT7</t>
  </si>
  <si>
    <t xml:space="preserve">Code UI lobby từ design</t>
  </si>
  <si>
    <t xml:space="preserve">T021</t>
  </si>
  <si>
    <t xml:space="preserve">UI Implementation - Gameplay</t>
  </si>
  <si>
    <t xml:space="preserve">PhucNN</t>
  </si>
  <si>
    <t xml:space="preserve">Code UI gameplay từ design</t>
  </si>
  <si>
    <t xml:space="preserve">T022</t>
  </si>
  <si>
    <t xml:space="preserve">Backend API &amp; Database</t>
  </si>
  <si>
    <t xml:space="preserve">SonBNT</t>
  </si>
  <si>
    <t xml:space="preserve">API user, room, leaderboard, DB</t>
  </si>
  <si>
    <t xml:space="preserve">T023</t>
  </si>
  <si>
    <t xml:space="preserve">AI Bot Logic</t>
  </si>
  <si>
    <t xml:space="preserve">28/03/2026</t>
  </si>
  <si>
    <t xml:space="preserve">07/04/2026</t>
  </si>
  <si>
    <t xml:space="preserve">AI bot cho single player</t>
  </si>
  <si>
    <t xml:space="preserve">T024</t>
  </si>
  <si>
    <t xml:space="preserve">Shop &amp; In-app Purchase</t>
  </si>
  <si>
    <t xml:space="preserve">T018,T022</t>
  </si>
  <si>
    <t xml:space="preserve">Cửa hàng, mua chip</t>
  </si>
  <si>
    <t xml:space="preserve">T025</t>
  </si>
  <si>
    <t xml:space="preserve">Sound Effects (SFX)</t>
  </si>
  <si>
    <t xml:space="preserve">Âm thanh chia bài, chip, win/lose</t>
  </si>
  <si>
    <t xml:space="preserve">T026</t>
  </si>
  <si>
    <t xml:space="preserve">Background Music</t>
  </si>
  <si>
    <t xml:space="preserve">Low</t>
  </si>
  <si>
    <t xml:space="preserve">01/04/2026</t>
  </si>
  <si>
    <t xml:space="preserve">Nhạc nền lobby, gameplay</t>
  </si>
  <si>
    <t xml:space="preserve">T027</t>
  </si>
  <si>
    <t xml:space="preserve">Card Animation &amp; VFX</t>
  </si>
  <si>
    <t xml:space="preserve">T009,T025</t>
  </si>
  <si>
    <t xml:space="preserve">Animation chia bài, lật bài, VFX win</t>
  </si>
  <si>
    <t xml:space="preserve">T028</t>
  </si>
  <si>
    <t xml:space="preserve">Sprint Review &amp; Tracking</t>
  </si>
  <si>
    <t xml:space="preserve">Review tiến độ hàng tuần</t>
  </si>
  <si>
    <t xml:space="preserve">T029</t>
  </si>
  <si>
    <t xml:space="preserve">Build &amp; Deployment Setup</t>
  </si>
  <si>
    <t xml:space="preserve">24/03/2026</t>
  </si>
  <si>
    <t xml:space="preserve">Setup CI/CD, build pipeline</t>
  </si>
  <si>
    <t xml:space="preserve">T030</t>
  </si>
  <si>
    <t xml:space="preserve">Functional Testing</t>
  </si>
  <si>
    <t xml:space="preserve">21/04/2026</t>
  </si>
  <si>
    <t xml:space="preserve">Test chức năng core gameplay</t>
  </si>
  <si>
    <t xml:space="preserve">T031</t>
  </si>
  <si>
    <t xml:space="preserve">Integration Testing</t>
  </si>
  <si>
    <t xml:space="preserve">19/04/2026</t>
  </si>
  <si>
    <t xml:space="preserve">T019,T022</t>
  </si>
  <si>
    <t xml:space="preserve">Test tích hợp multiplayer + API</t>
  </si>
  <si>
    <t xml:space="preserve">T032</t>
  </si>
  <si>
    <t xml:space="preserve">Performance Testing</t>
  </si>
  <si>
    <t xml:space="preserve">18/04/2026</t>
  </si>
  <si>
    <t xml:space="preserve">22/04/2026</t>
  </si>
  <si>
    <t xml:space="preserve">Test hiệu năng, tải đồng thời</t>
  </si>
  <si>
    <t xml:space="preserve">T033</t>
  </si>
  <si>
    <t xml:space="preserve">Bug Fixing Sprint</t>
  </si>
  <si>
    <t xml:space="preserve">20/04/2026</t>
  </si>
  <si>
    <t xml:space="preserve">26/04/2026</t>
  </si>
  <si>
    <t xml:space="preserve">T030,T031</t>
  </si>
  <si>
    <t xml:space="preserve">Fix bug từ QA report</t>
  </si>
  <si>
    <t xml:space="preserve">T034</t>
  </si>
  <si>
    <t xml:space="preserve">UI/UX Polish</t>
  </si>
  <si>
    <t xml:space="preserve">25/04/2026</t>
  </si>
  <si>
    <t xml:space="preserve">Chỉnh sửa UI từ feedback test</t>
  </si>
  <si>
    <t xml:space="preserve">T035</t>
  </si>
  <si>
    <t xml:space="preserve">Art Asset Polish</t>
  </si>
  <si>
    <t xml:space="preserve">Chỉnh sửa art từ feedback</t>
  </si>
  <si>
    <t xml:space="preserve">T036</t>
  </si>
  <si>
    <t xml:space="preserve">Final Build &amp; Release</t>
  </si>
  <si>
    <t xml:space="preserve">Build final, deploy release</t>
  </si>
  <si>
    <t xml:space="preserve">T037</t>
  </si>
  <si>
    <t xml:space="preserve">Release Sign-off</t>
  </si>
  <si>
    <t xml:space="preserve">Nghiệm thu, sign-off release</t>
  </si>
  <si>
    <t xml:space="preserve">TIMELINE - Auto-synced from Task Assignment (thêm task mới ở CUỐI bảng Task Assignment)</t>
  </si>
  <si>
    <t xml:space="preserve">Start</t>
  </si>
  <si>
    <t xml:space="preserve">End</t>
  </si>
  <si>
    <t xml:space="preserve">W1
03/03 - 09/03</t>
  </si>
  <si>
    <t xml:space="preserve">W2
10/03 - 16/03</t>
  </si>
  <si>
    <t xml:space="preserve">W3
17/03 - 23/03</t>
  </si>
  <si>
    <t xml:space="preserve">W4
24/03 - 30/03</t>
  </si>
  <si>
    <t xml:space="preserve">W5
31/03 - 06/04</t>
  </si>
  <si>
    <t xml:space="preserve">W6
07/04 - 13/04</t>
  </si>
  <si>
    <t xml:space="preserve">W7
14/04 - 20/04</t>
  </si>
  <si>
    <t xml:space="preserve">W8
21/04 - 27/04</t>
  </si>
  <si>
    <t xml:space="preserve">Chú thích:</t>
  </si>
  <si>
    <t xml:space="preserve">0% - Chưa bắt đầu</t>
  </si>
  <si>
    <t xml:space="preserve">1-99% - Đang làm</t>
  </si>
  <si>
    <t xml:space="preserve">100% - Hoàn thành</t>
  </si>
  <si>
    <t xml:space="preserve">⚠ Lưu ý: Thêm task mới ở CUỐI bảng Task Assignment (không insert row giữa chừng) để Timeline đồng bộ đúng.</t>
  </si>
  <si>
    <t xml:space="preserve">#</t>
  </si>
  <si>
    <t xml:space="preserve">Milestone</t>
  </si>
  <si>
    <t xml:space="preserve">Ngày dự kiến</t>
  </si>
  <si>
    <t xml:space="preserve">Owner</t>
  </si>
  <si>
    <t xml:space="preserve">Tiêu chí hoàn thành</t>
  </si>
  <si>
    <t xml:space="preserve">GDD &amp; Architecture Approved</t>
  </si>
  <si>
    <t xml:space="preserve">GDD hoàn thiện, architecture review passed</t>
  </si>
  <si>
    <t xml:space="preserve">Pending</t>
  </si>
  <si>
    <t xml:space="preserve">UI/UX Design Complete</t>
  </si>
  <si>
    <t xml:space="preserve">Tất cả wireframe &amp; mockup được approve</t>
  </si>
  <si>
    <t xml:space="preserve">Art Style Guide Locked</t>
  </si>
  <si>
    <t xml:space="preserve">12/03/2026</t>
  </si>
  <si>
    <t xml:space="preserve">Art style guide được PM approve</t>
  </si>
  <si>
    <t xml:space="preserve">Core Gameplay Playable</t>
  </si>
  <si>
    <t xml:space="preserve">Có thể chơi 1 ván poker cơ bản</t>
  </si>
  <si>
    <t xml:space="preserve">All Art Assets Delivered</t>
  </si>
  <si>
    <t xml:space="preserve">52 lá bài, bàn, avatar, chip hoàn thiện</t>
  </si>
  <si>
    <t xml:space="preserve">Multiplayer Working</t>
  </si>
  <si>
    <t xml:space="preserve">2+ người chơi cùng phòng được</t>
  </si>
  <si>
    <t xml:space="preserve">Feature Complete (Code Freeze)</t>
  </si>
  <si>
    <t xml:space="preserve">10/04/2026</t>
  </si>
  <si>
    <t xml:space="preserve">Tất cả feature done, không code mới</t>
  </si>
  <si>
    <t xml:space="preserve">QA Test Pass</t>
  </si>
  <si>
    <t xml:space="preserve">24/04/2026</t>
  </si>
  <si>
    <t xml:space="preserve">Không còn bug Critical/Major</t>
  </si>
  <si>
    <t xml:space="preserve">Final Build Ready</t>
  </si>
  <si>
    <t xml:space="preserve">27/04/2026</t>
  </si>
  <si>
    <t xml:space="preserve">Build chạy ổn trên tất cả platform</t>
  </si>
  <si>
    <t xml:space="preserve">PM sign-off, sẵn sàng release</t>
  </si>
  <si>
    <t xml:space="preserve">Rủi ro</t>
  </si>
  <si>
    <t xml:space="preserve">Xác suất</t>
  </si>
  <si>
    <t xml:space="preserve">Mức ảnh hưởng</t>
  </si>
  <si>
    <t xml:space="preserve">Team liên quan</t>
  </si>
  <si>
    <t xml:space="preserve">Giải pháp</t>
  </si>
  <si>
    <t xml:space="preserve">R01</t>
  </si>
  <si>
    <t xml:space="preserve">Thiếu nhân lực Dev (6 người cho nhiều module)</t>
  </si>
  <si>
    <t xml:space="preserve">Cao</t>
  </si>
  <si>
    <t xml:space="preserve">Ưu tiên core features, cắt giảm scope nếu cần</t>
  </si>
  <si>
    <t xml:space="preserve">Open</t>
  </si>
  <si>
    <t xml:space="preserve">R02</t>
  </si>
  <si>
    <t xml:space="preserve">Multiplayer networking phức tạp hơn dự kiến</t>
  </si>
  <si>
    <t xml:space="preserve">Trung bình</t>
  </si>
  <si>
    <t xml:space="preserve">Dùng framework có sẵn (Photon/Mirror), prototype sớm</t>
  </si>
  <si>
    <t xml:space="preserve">R03</t>
  </si>
  <si>
    <t xml:space="preserve">Art asset chậm deadline</t>
  </si>
  <si>
    <t xml:space="preserve">Chia nhỏ deliverable, review hàng tuần</t>
  </si>
  <si>
    <t xml:space="preserve">R04</t>
  </si>
  <si>
    <t xml:space="preserve">Bug Critical gần ngày release</t>
  </si>
  <si>
    <t xml:space="preserve">QC, Dev</t>
  </si>
  <si>
    <t xml:space="preserve">Buffer 3 ngày trước release, daily build từ tuần 6</t>
  </si>
  <si>
    <t xml:space="preserve">R05</t>
  </si>
  <si>
    <t xml:space="preserve">Scope creep - thêm tính năng ngoài kế hoạch</t>
  </si>
  <si>
    <t xml:space="preserve">Strict change request process, backlog cho v2</t>
  </si>
  <si>
    <t xml:space="preserve">R06</t>
  </si>
  <si>
    <t xml:space="preserve">Multimedia chỉ có 1 người (HungVM2)</t>
  </si>
  <si>
    <t xml:space="preserve">Dùng asset library có sẵn, ưu tiên SFX trước BGM</t>
  </si>
  <si>
    <t xml:space="preserve">R07</t>
  </si>
  <si>
    <t xml:space="preserve">Integration issues giữa các module</t>
  </si>
  <si>
    <t xml:space="preserve">Daily standup, integration test từ tuần 4</t>
  </si>
  <si>
    <t xml:space="preserve">Tuần</t>
  </si>
  <si>
    <t xml:space="preserve">Ngày</t>
  </si>
  <si>
    <t xml:space="preserve">Planned Tasks</t>
  </si>
  <si>
    <t xml:space="preserve">Completed Tasks</t>
  </si>
  <si>
    <t xml:space="preserve">Blockers</t>
  </si>
  <si>
    <t xml:space="preserve">% Tiến độ</t>
  </si>
  <si>
    <t xml:space="preserve">W1</t>
  </si>
  <si>
    <t xml:space="preserve">03/03 - 09/03/2026</t>
  </si>
  <si>
    <t xml:space="preserve">W2</t>
  </si>
  <si>
    <t xml:space="preserve">10/03 - 16/03/2026</t>
  </si>
  <si>
    <t xml:space="preserve">W3</t>
  </si>
  <si>
    <t xml:space="preserve">17/03 - 23/03/2026</t>
  </si>
  <si>
    <t xml:space="preserve">W4</t>
  </si>
  <si>
    <t xml:space="preserve">24/03 - 30/03/2026</t>
  </si>
  <si>
    <t xml:space="preserve">W5</t>
  </si>
  <si>
    <t xml:space="preserve">31/03 - 06/04/2026</t>
  </si>
  <si>
    <t xml:space="preserve">W6</t>
  </si>
  <si>
    <t xml:space="preserve">07/04 - 13/04/2026</t>
  </si>
  <si>
    <t xml:space="preserve">W7</t>
  </si>
  <si>
    <t xml:space="preserve">14/04 - 20/04/2026</t>
  </si>
  <si>
    <t xml:space="preserve">W8</t>
  </si>
  <si>
    <t xml:space="preserve">21/04 - 27/04/2026</t>
  </si>
  <si>
    <t xml:space="preserve">Task IDs</t>
  </si>
  <si>
    <t xml:space="preserve">MS Status</t>
  </si>
  <si>
    <t xml:space="preserve">Probability</t>
  </si>
  <si>
    <t xml:space="preserve">Risk Status</t>
  </si>
  <si>
    <t xml:space="preserve">0%</t>
  </si>
  <si>
    <t xml:space="preserve">In Progress</t>
  </si>
  <si>
    <t xml:space="preserve">10%</t>
  </si>
  <si>
    <t xml:space="preserve">Mitigated</t>
  </si>
  <si>
    <t xml:space="preserve">Review</t>
  </si>
  <si>
    <t xml:space="preserve">20%</t>
  </si>
  <si>
    <t xml:space="preserve">Achieved</t>
  </si>
  <si>
    <t xml:space="preserve">Thấp</t>
  </si>
  <si>
    <t xml:space="preserve">Closed</t>
  </si>
  <si>
    <t xml:space="preserve">30%</t>
  </si>
  <si>
    <t xml:space="preserve">At Risk</t>
  </si>
  <si>
    <t xml:space="preserve">Escalated</t>
  </si>
  <si>
    <t xml:space="preserve">Blocked</t>
  </si>
  <si>
    <t xml:space="preserve">40%</t>
  </si>
  <si>
    <t xml:space="preserve">Missed</t>
  </si>
  <si>
    <t xml:space="preserve">50%</t>
  </si>
  <si>
    <t xml:space="preserve">60%</t>
  </si>
  <si>
    <t xml:space="preserve">70%</t>
  </si>
  <si>
    <t xml:space="preserve">80%</t>
  </si>
  <si>
    <t xml:space="preserve">90%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</si>
</sst>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Calibri"/>
      <family val="2"/>
      <charset val="1"/>
    </font>
    <font>
      <sz val="11"/>
      <color rgb="FF666666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3"/>
      <color rgb="FF1B2A4A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E74C3C"/>
      <name val="Arial"/>
      <family val="0"/>
      <charset val="1"/>
    </font>
    <font>
      <sz val="9"/>
      <name val="Calibri"/>
      <family val="2"/>
      <charset val="1"/>
    </font>
    <font>
      <b val="true"/>
      <sz val="9"/>
      <color rgb="FFFFFFFF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2C3E6B"/>
        <bgColor rgb="FF34495E"/>
      </patternFill>
    </fill>
    <fill>
      <patternFill patternType="solid">
        <fgColor rgb="FFF2F2F2"/>
        <bgColor rgb="FFFFFFFF"/>
      </patternFill>
    </fill>
    <fill>
      <patternFill patternType="solid">
        <fgColor rgb="FF9B59B6"/>
        <bgColor rgb="FF993366"/>
      </patternFill>
    </fill>
    <fill>
      <patternFill patternType="solid">
        <fgColor rgb="FF2980B9"/>
        <bgColor rgb="FF3498DB"/>
      </patternFill>
    </fill>
    <fill>
      <patternFill patternType="solid">
        <fgColor rgb="FFE67E22"/>
        <bgColor rgb="FFF39C12"/>
      </patternFill>
    </fill>
    <fill>
      <patternFill patternType="solid">
        <fgColor rgb="FF1ABC9C"/>
        <bgColor rgb="FF27AE60"/>
      </patternFill>
    </fill>
    <fill>
      <patternFill patternType="solid">
        <fgColor rgb="FF34495E"/>
        <bgColor rgb="FF2C3E6B"/>
      </patternFill>
    </fill>
    <fill>
      <patternFill patternType="solid">
        <fgColor rgb="FF7F8C8D"/>
        <bgColor rgb="FF888888"/>
      </patternFill>
    </fill>
    <fill>
      <patternFill patternType="solid">
        <fgColor rgb="FFC0392B"/>
        <bgColor rgb="FFE74C3C"/>
      </patternFill>
    </fill>
    <fill>
      <patternFill patternType="solid">
        <fgColor rgb="FF3498DB"/>
        <bgColor rgb="FF2980B9"/>
      </patternFill>
    </fill>
    <fill>
      <patternFill patternType="solid">
        <fgColor rgb="FF27AE60"/>
        <bgColor rgb="FF1ABC9C"/>
      </patternFill>
    </fill>
    <fill>
      <patternFill patternType="solid">
        <fgColor rgb="FFE74C3C"/>
        <bgColor rgb="FFC0392B"/>
      </patternFill>
    </fill>
    <fill>
      <patternFill patternType="solid">
        <fgColor rgb="FFBDC3C7"/>
        <bgColor rgb="FFCCCCCC"/>
      </patternFill>
    </fill>
    <fill>
      <patternFill patternType="solid">
        <fgColor rgb="FFF39C12"/>
        <bgColor rgb="FFE67E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2C3E6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1ABC9C"/>
          <bgColor rgb="FF000000"/>
        </patternFill>
      </fill>
    </dxf>
    <dxf>
      <fill>
        <patternFill patternType="solid">
          <fgColor rgb="FF2980B9"/>
          <bgColor rgb="FF000000"/>
        </patternFill>
      </fill>
    </dxf>
    <dxf>
      <fill>
        <patternFill patternType="solid">
          <fgColor rgb="FF34495E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9B59B6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ont>
        <b val="1"/>
        <color rgb="FFFFFFFF"/>
        <sz val="8"/>
      </font>
      <fill>
        <patternFill>
          <bgColor rgb="FF27AE60"/>
        </patternFill>
      </fill>
    </dxf>
    <dxf>
      <font>
        <b val="1"/>
        <color rgb="FFFFFFFF"/>
        <sz val="8"/>
      </font>
      <fill>
        <patternFill>
          <bgColor rgb="FF3498DB"/>
        </patternFill>
      </fill>
    </dxf>
    <dxf>
      <font>
        <b val="1"/>
        <color rgb="FFFFFFFF"/>
        <sz val="8"/>
      </font>
      <fill>
        <patternFill>
          <bgColor rgb="FFF39C12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b val="1"/>
        <color rgb="FFFFFFFF"/>
        <sz val="9"/>
      </font>
      <fill>
        <patternFill>
          <bgColor rgb="FF2980B9"/>
        </patternFill>
      </fill>
    </dxf>
    <dxf>
      <font>
        <b val="1"/>
        <color rgb="FFFFFFFF"/>
        <sz val="9"/>
      </font>
      <fill>
        <patternFill>
          <bgColor rgb="FFE67E22"/>
        </patternFill>
      </fill>
    </dxf>
    <dxf>
      <font>
        <b val="1"/>
        <color rgb="FFFFFFFF"/>
        <sz val="9"/>
      </font>
      <fill>
        <patternFill>
          <bgColor rgb="FF1ABC9C"/>
        </patternFill>
      </fill>
    </dxf>
    <dxf>
      <font>
        <b val="1"/>
        <color rgb="FFFFFFFF"/>
        <sz val="9"/>
      </font>
      <fill>
        <patternFill>
          <bgColor rgb="FF34495E"/>
        </patternFill>
      </fill>
    </dxf>
    <dxf>
      <font>
        <b val="1"/>
        <color rgb="FFFFFFFF"/>
        <sz val="9"/>
      </font>
      <fill>
        <patternFill>
          <bgColor rgb="FF7F8C8D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888888"/>
      <rgbColor rgb="FF9999FF"/>
      <rgbColor rgb="FF9B59B6"/>
      <rgbColor rgb="FFF2F2F2"/>
      <rgbColor rgb="FFCCFFFF"/>
      <rgbColor rgb="FF660066"/>
      <rgbColor rgb="FFE74C3C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1ABC9C"/>
      <rgbColor rgb="FF99CC00"/>
      <rgbColor rgb="FFFFCC00"/>
      <rgbColor rgb="FFF39C12"/>
      <rgbColor rgb="FFE67E22"/>
      <rgbColor rgb="FF666666"/>
      <rgbColor rgb="FF7F8C8D"/>
      <rgbColor rgb="FF34495E"/>
      <rgbColor rgb="FF27AE60"/>
      <rgbColor rgb="FF003300"/>
      <rgbColor rgb="FF333300"/>
      <rgbColor rgb="FFC0392B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45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6" t="s">
        <v>6</v>
      </c>
      <c r="C7" s="7" t="s">
        <v>7</v>
      </c>
    </row>
    <row r="8" customFormat="false" ht="1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6" t="s">
        <v>10</v>
      </c>
      <c r="C9" s="7" t="s">
        <v>11</v>
      </c>
    </row>
    <row r="10" customFormat="false" ht="1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6" t="s">
        <v>14</v>
      </c>
      <c r="C11" s="7" t="s">
        <v>15</v>
      </c>
    </row>
    <row r="12" customFormat="false" ht="15" hidden="false" customHeight="false" outlineLevel="0" collapsed="false">
      <c r="B12" s="4" t="s">
        <v>16</v>
      </c>
      <c r="C12" s="5" t="s">
        <v>17</v>
      </c>
    </row>
    <row r="15" customFormat="false" ht="16.5" hidden="false" customHeight="true" outlineLevel="0" collapsed="false">
      <c r="B15" s="8" t="s">
        <v>18</v>
      </c>
      <c r="C15" s="8"/>
      <c r="D15" s="8"/>
      <c r="E15" s="8"/>
    </row>
    <row r="16" customFormat="false" ht="15" hidden="false" customHeight="false" outlineLevel="0" collapsed="false">
      <c r="B16" s="3" t="s">
        <v>19</v>
      </c>
      <c r="C16" s="3" t="s">
        <v>20</v>
      </c>
      <c r="D16" s="3" t="s">
        <v>21</v>
      </c>
      <c r="E16" s="3" t="s">
        <v>22</v>
      </c>
    </row>
    <row r="17" customFormat="false" ht="15" hidden="false" customHeight="false" outlineLevel="0" collapsed="false">
      <c r="B17" s="9" t="s">
        <v>23</v>
      </c>
      <c r="C17" s="10" t="n">
        <v>3</v>
      </c>
      <c r="D17" s="11" t="s">
        <v>24</v>
      </c>
      <c r="E17" s="11" t="s">
        <v>25</v>
      </c>
    </row>
    <row r="18" customFormat="false" ht="15" hidden="false" customHeight="false" outlineLevel="0" collapsed="false">
      <c r="B18" s="12" t="s">
        <v>26</v>
      </c>
      <c r="C18" s="13" t="n">
        <v>6</v>
      </c>
      <c r="D18" s="14" t="s">
        <v>27</v>
      </c>
      <c r="E18" s="14" t="s">
        <v>28</v>
      </c>
    </row>
    <row r="19" customFormat="false" ht="15" hidden="false" customHeight="false" outlineLevel="0" collapsed="false">
      <c r="B19" s="15" t="s">
        <v>29</v>
      </c>
      <c r="C19" s="10" t="n">
        <v>3</v>
      </c>
      <c r="D19" s="11" t="s">
        <v>30</v>
      </c>
      <c r="E19" s="11" t="s">
        <v>31</v>
      </c>
    </row>
    <row r="20" customFormat="false" ht="15" hidden="false" customHeight="false" outlineLevel="0" collapsed="false">
      <c r="B20" s="16" t="s">
        <v>32</v>
      </c>
      <c r="C20" s="13" t="n">
        <v>1</v>
      </c>
      <c r="D20" s="14" t="s">
        <v>33</v>
      </c>
      <c r="E20" s="14" t="s">
        <v>33</v>
      </c>
    </row>
    <row r="21" customFormat="false" ht="15" hidden="false" customHeight="false" outlineLevel="0" collapsed="false">
      <c r="B21" s="17" t="s">
        <v>6</v>
      </c>
      <c r="C21" s="10" t="n">
        <v>1</v>
      </c>
      <c r="D21" s="11" t="s">
        <v>7</v>
      </c>
      <c r="E21" s="11" t="s">
        <v>7</v>
      </c>
    </row>
    <row r="22" customFormat="false" ht="15" hidden="false" customHeight="false" outlineLevel="0" collapsed="false">
      <c r="B22" s="18" t="s">
        <v>34</v>
      </c>
      <c r="C22" s="13" t="n">
        <v>1</v>
      </c>
      <c r="D22" s="14" t="s">
        <v>35</v>
      </c>
      <c r="E22" s="14" t="s">
        <v>35</v>
      </c>
    </row>
    <row r="23" customFormat="false" ht="15" hidden="false" customHeight="false" outlineLevel="0" collapsed="false">
      <c r="B23" s="19" t="s">
        <v>36</v>
      </c>
      <c r="C23" s="10" t="n">
        <v>1</v>
      </c>
      <c r="D23" s="11" t="s">
        <v>37</v>
      </c>
      <c r="E23" s="11" t="s">
        <v>37</v>
      </c>
    </row>
    <row r="26" customFormat="false" ht="16.5" hidden="false" customHeight="true" outlineLevel="0" collapsed="false">
      <c r="B26" s="8" t="s">
        <v>38</v>
      </c>
      <c r="C26" s="8"/>
      <c r="D26" s="8"/>
      <c r="E26" s="8"/>
    </row>
    <row r="27" customFormat="false" ht="15" hidden="false" customHeight="false" outlineLevel="0" collapsed="false">
      <c r="B27" s="3" t="s">
        <v>39</v>
      </c>
      <c r="C27" s="3" t="s">
        <v>40</v>
      </c>
      <c r="D27" s="3" t="s">
        <v>41</v>
      </c>
      <c r="E27" s="3" t="s">
        <v>42</v>
      </c>
      <c r="F27" s="3" t="s">
        <v>43</v>
      </c>
    </row>
    <row r="28" customFormat="false" ht="15" hidden="false" customHeight="false" outlineLevel="0" collapsed="false">
      <c r="B28" s="20" t="s">
        <v>44</v>
      </c>
      <c r="C28" s="11" t="s">
        <v>9</v>
      </c>
      <c r="D28" s="11" t="s">
        <v>45</v>
      </c>
      <c r="E28" s="10" t="s">
        <v>46</v>
      </c>
      <c r="F28" s="11" t="s">
        <v>47</v>
      </c>
    </row>
    <row r="29" customFormat="false" ht="15" hidden="false" customHeight="false" outlineLevel="0" collapsed="false">
      <c r="B29" s="21" t="s">
        <v>48</v>
      </c>
      <c r="C29" s="11" t="s">
        <v>49</v>
      </c>
      <c r="D29" s="11" t="s">
        <v>50</v>
      </c>
      <c r="E29" s="10" t="s">
        <v>51</v>
      </c>
      <c r="F29" s="11" t="s">
        <v>52</v>
      </c>
    </row>
    <row r="30" customFormat="false" ht="15" hidden="false" customHeight="false" outlineLevel="0" collapsed="false">
      <c r="B30" s="22" t="s">
        <v>53</v>
      </c>
      <c r="C30" s="11" t="s">
        <v>54</v>
      </c>
      <c r="D30" s="11" t="s">
        <v>11</v>
      </c>
      <c r="E30" s="10" t="s">
        <v>46</v>
      </c>
      <c r="F30" s="11" t="s">
        <v>55</v>
      </c>
    </row>
  </sheetData>
  <mergeCells count="4">
    <mergeCell ref="B2:H2"/>
    <mergeCell ref="B3:H3"/>
    <mergeCell ref="B15:E15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21" activeCellId="0" sqref="O2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13"/>
    <col collapsed="false" customWidth="true" hidden="false" outlineLevel="0" max="10" min="10" style="23" width="11"/>
    <col collapsed="false" customWidth="true" hidden="false" outlineLevel="0" max="11" min="11" style="24" width="14"/>
    <col collapsed="false" customWidth="true" hidden="false" outlineLevel="0" max="12" min="12" style="0" width="35"/>
  </cols>
  <sheetData>
    <row r="1" customFormat="false" ht="15.75" hidden="false" customHeight="true" outlineLevel="0" collapsed="false">
      <c r="A1" s="25" t="s">
        <v>56</v>
      </c>
      <c r="B1" s="25" t="s">
        <v>57</v>
      </c>
      <c r="C1" s="25" t="s">
        <v>58</v>
      </c>
      <c r="D1" s="25" t="s">
        <v>19</v>
      </c>
      <c r="E1" s="25" t="s">
        <v>59</v>
      </c>
      <c r="F1" s="25" t="s">
        <v>60</v>
      </c>
      <c r="G1" s="25" t="s">
        <v>61</v>
      </c>
      <c r="H1" s="25" t="s">
        <v>62</v>
      </c>
      <c r="I1" s="25" t="s">
        <v>63</v>
      </c>
      <c r="J1" s="26" t="s">
        <v>64</v>
      </c>
      <c r="K1" s="27" t="s">
        <v>65</v>
      </c>
      <c r="L1" s="25" t="s">
        <v>66</v>
      </c>
    </row>
    <row r="2" customFormat="false" ht="15" hidden="false" customHeight="false" outlineLevel="0" collapsed="false">
      <c r="A2" s="28" t="s">
        <v>67</v>
      </c>
      <c r="B2" s="29" t="s">
        <v>44</v>
      </c>
      <c r="C2" s="28" t="s">
        <v>68</v>
      </c>
      <c r="D2" s="30" t="s">
        <v>6</v>
      </c>
      <c r="E2" s="28" t="s">
        <v>7</v>
      </c>
      <c r="F2" s="31" t="s">
        <v>69</v>
      </c>
      <c r="G2" s="32" t="s">
        <v>70</v>
      </c>
      <c r="H2" s="28" t="s">
        <v>9</v>
      </c>
      <c r="I2" s="28" t="s">
        <v>71</v>
      </c>
      <c r="J2" s="33" t="n">
        <v>0</v>
      </c>
      <c r="K2" s="34"/>
      <c r="L2" s="28" t="s">
        <v>72</v>
      </c>
    </row>
    <row r="3" customFormat="false" ht="15" hidden="false" customHeight="false" outlineLevel="0" collapsed="false">
      <c r="A3" s="28" t="s">
        <v>73</v>
      </c>
      <c r="B3" s="29" t="s">
        <v>48</v>
      </c>
      <c r="C3" s="28" t="s">
        <v>74</v>
      </c>
      <c r="D3" s="30" t="s">
        <v>29</v>
      </c>
      <c r="E3" s="28" t="s">
        <v>75</v>
      </c>
      <c r="F3" s="31" t="s">
        <v>69</v>
      </c>
      <c r="G3" s="32" t="s">
        <v>76</v>
      </c>
      <c r="H3" s="28" t="s">
        <v>9</v>
      </c>
      <c r="I3" s="28" t="s">
        <v>9</v>
      </c>
      <c r="J3" s="33" t="s">
        <v>77</v>
      </c>
      <c r="K3" s="34"/>
      <c r="L3" s="28"/>
    </row>
    <row r="4" customFormat="false" ht="15" hidden="false" customHeight="false" outlineLevel="0" collapsed="false">
      <c r="A4" s="35" t="s">
        <v>78</v>
      </c>
      <c r="B4" s="29" t="s">
        <v>44</v>
      </c>
      <c r="C4" s="35" t="s">
        <v>79</v>
      </c>
      <c r="D4" s="36" t="s">
        <v>29</v>
      </c>
      <c r="E4" s="35" t="s">
        <v>31</v>
      </c>
      <c r="F4" s="31" t="s">
        <v>69</v>
      </c>
      <c r="G4" s="32" t="s">
        <v>70</v>
      </c>
      <c r="H4" s="35" t="s">
        <v>80</v>
      </c>
      <c r="I4" s="35" t="s">
        <v>81</v>
      </c>
      <c r="J4" s="37" t="n">
        <v>0</v>
      </c>
      <c r="K4" s="38" t="s">
        <v>67</v>
      </c>
      <c r="L4" s="35" t="s">
        <v>82</v>
      </c>
    </row>
    <row r="5" customFormat="false" ht="15" hidden="false" customHeight="false" outlineLevel="0" collapsed="false">
      <c r="A5" s="28" t="s">
        <v>83</v>
      </c>
      <c r="B5" s="29" t="s">
        <v>44</v>
      </c>
      <c r="C5" s="28" t="s">
        <v>84</v>
      </c>
      <c r="D5" s="36" t="s">
        <v>29</v>
      </c>
      <c r="E5" s="28" t="s">
        <v>75</v>
      </c>
      <c r="F5" s="31" t="s">
        <v>69</v>
      </c>
      <c r="G5" s="32" t="s">
        <v>70</v>
      </c>
      <c r="H5" s="28" t="s">
        <v>80</v>
      </c>
      <c r="I5" s="28" t="s">
        <v>81</v>
      </c>
      <c r="J5" s="33" t="n">
        <v>0</v>
      </c>
      <c r="K5" s="34" t="s">
        <v>67</v>
      </c>
      <c r="L5" s="28" t="s">
        <v>85</v>
      </c>
    </row>
    <row r="6" customFormat="false" ht="15" hidden="false" customHeight="false" outlineLevel="0" collapsed="false">
      <c r="A6" s="35" t="s">
        <v>86</v>
      </c>
      <c r="B6" s="29" t="s">
        <v>44</v>
      </c>
      <c r="C6" s="35" t="s">
        <v>87</v>
      </c>
      <c r="D6" s="39" t="s">
        <v>23</v>
      </c>
      <c r="E6" s="35" t="s">
        <v>25</v>
      </c>
      <c r="F6" s="31" t="s">
        <v>69</v>
      </c>
      <c r="G6" s="32" t="s">
        <v>70</v>
      </c>
      <c r="H6" s="35" t="s">
        <v>88</v>
      </c>
      <c r="I6" s="35" t="s">
        <v>89</v>
      </c>
      <c r="J6" s="37" t="n">
        <v>0</v>
      </c>
      <c r="K6" s="38" t="s">
        <v>67</v>
      </c>
      <c r="L6" s="35" t="s">
        <v>90</v>
      </c>
    </row>
    <row r="7" customFormat="false" ht="15" hidden="false" customHeight="false" outlineLevel="0" collapsed="false">
      <c r="A7" s="28" t="s">
        <v>91</v>
      </c>
      <c r="B7" s="29" t="s">
        <v>44</v>
      </c>
      <c r="C7" s="28" t="s">
        <v>92</v>
      </c>
      <c r="D7" s="40" t="s">
        <v>26</v>
      </c>
      <c r="E7" s="28" t="s">
        <v>28</v>
      </c>
      <c r="F7" s="31" t="s">
        <v>69</v>
      </c>
      <c r="G7" s="32" t="s">
        <v>70</v>
      </c>
      <c r="H7" s="28" t="s">
        <v>80</v>
      </c>
      <c r="I7" s="28" t="s">
        <v>93</v>
      </c>
      <c r="J7" s="33" t="n">
        <v>0</v>
      </c>
      <c r="K7" s="34" t="s">
        <v>67</v>
      </c>
      <c r="L7" s="28" t="s">
        <v>94</v>
      </c>
    </row>
    <row r="8" customFormat="false" ht="15" hidden="false" customHeight="false" outlineLevel="0" collapsed="false">
      <c r="A8" s="35" t="s">
        <v>95</v>
      </c>
      <c r="B8" s="29" t="s">
        <v>44</v>
      </c>
      <c r="C8" s="35" t="s">
        <v>96</v>
      </c>
      <c r="D8" s="40" t="s">
        <v>26</v>
      </c>
      <c r="E8" s="35" t="s">
        <v>97</v>
      </c>
      <c r="F8" s="41" t="s">
        <v>98</v>
      </c>
      <c r="G8" s="32" t="s">
        <v>70</v>
      </c>
      <c r="H8" s="35" t="s">
        <v>81</v>
      </c>
      <c r="I8" s="35" t="s">
        <v>99</v>
      </c>
      <c r="J8" s="37" t="n">
        <v>0</v>
      </c>
      <c r="K8" s="38" t="s">
        <v>91</v>
      </c>
      <c r="L8" s="35" t="s">
        <v>100</v>
      </c>
    </row>
    <row r="9" customFormat="false" ht="15" hidden="false" customHeight="false" outlineLevel="0" collapsed="false">
      <c r="A9" s="28" t="s">
        <v>101</v>
      </c>
      <c r="B9" s="29" t="s">
        <v>44</v>
      </c>
      <c r="C9" s="28" t="s">
        <v>102</v>
      </c>
      <c r="D9" s="42" t="s">
        <v>36</v>
      </c>
      <c r="E9" s="28" t="s">
        <v>37</v>
      </c>
      <c r="F9" s="41" t="s">
        <v>98</v>
      </c>
      <c r="G9" s="32" t="s">
        <v>70</v>
      </c>
      <c r="H9" s="28" t="s">
        <v>81</v>
      </c>
      <c r="I9" s="28" t="s">
        <v>103</v>
      </c>
      <c r="J9" s="33" t="n">
        <v>0</v>
      </c>
      <c r="K9" s="34" t="s">
        <v>67</v>
      </c>
      <c r="L9" s="28" t="s">
        <v>104</v>
      </c>
    </row>
    <row r="10" customFormat="false" ht="15" hidden="false" customHeight="false" outlineLevel="0" collapsed="false">
      <c r="A10" s="35" t="s">
        <v>105</v>
      </c>
      <c r="B10" s="29" t="s">
        <v>44</v>
      </c>
      <c r="C10" s="35" t="s">
        <v>106</v>
      </c>
      <c r="D10" s="43" t="s">
        <v>34</v>
      </c>
      <c r="E10" s="35" t="s">
        <v>35</v>
      </c>
      <c r="F10" s="31" t="s">
        <v>69</v>
      </c>
      <c r="G10" s="32" t="s">
        <v>70</v>
      </c>
      <c r="H10" s="35" t="s">
        <v>9</v>
      </c>
      <c r="I10" s="35" t="s">
        <v>71</v>
      </c>
      <c r="J10" s="37" t="n">
        <v>0</v>
      </c>
      <c r="K10" s="38"/>
      <c r="L10" s="35" t="s">
        <v>107</v>
      </c>
    </row>
    <row r="11" customFormat="false" ht="15" hidden="false" customHeight="false" outlineLevel="0" collapsed="false">
      <c r="A11" s="28" t="s">
        <v>108</v>
      </c>
      <c r="B11" s="44" t="s">
        <v>48</v>
      </c>
      <c r="C11" s="28" t="s">
        <v>109</v>
      </c>
      <c r="D11" s="39" t="s">
        <v>23</v>
      </c>
      <c r="E11" s="28" t="s">
        <v>25</v>
      </c>
      <c r="F11" s="31" t="s">
        <v>69</v>
      </c>
      <c r="G11" s="32" t="s">
        <v>70</v>
      </c>
      <c r="H11" s="28" t="s">
        <v>49</v>
      </c>
      <c r="I11" s="28" t="s">
        <v>110</v>
      </c>
      <c r="J11" s="33" t="n">
        <v>0</v>
      </c>
      <c r="K11" s="34" t="s">
        <v>86</v>
      </c>
      <c r="L11" s="28" t="s">
        <v>111</v>
      </c>
    </row>
    <row r="12" customFormat="false" ht="15" hidden="false" customHeight="false" outlineLevel="0" collapsed="false">
      <c r="A12" s="35" t="s">
        <v>112</v>
      </c>
      <c r="B12" s="44" t="s">
        <v>48</v>
      </c>
      <c r="C12" s="35" t="s">
        <v>113</v>
      </c>
      <c r="D12" s="39" t="s">
        <v>23</v>
      </c>
      <c r="E12" s="35" t="s">
        <v>114</v>
      </c>
      <c r="F12" s="31" t="s">
        <v>69</v>
      </c>
      <c r="G12" s="32" t="s">
        <v>70</v>
      </c>
      <c r="H12" s="35" t="s">
        <v>49</v>
      </c>
      <c r="I12" s="35" t="s">
        <v>115</v>
      </c>
      <c r="J12" s="37" t="n">
        <v>0</v>
      </c>
      <c r="K12" s="38" t="s">
        <v>86</v>
      </c>
      <c r="L12" s="35" t="s">
        <v>116</v>
      </c>
    </row>
    <row r="13" customFormat="false" ht="15" hidden="false" customHeight="false" outlineLevel="0" collapsed="false">
      <c r="A13" s="28" t="s">
        <v>117</v>
      </c>
      <c r="B13" s="44" t="s">
        <v>48</v>
      </c>
      <c r="C13" s="28" t="s">
        <v>118</v>
      </c>
      <c r="D13" s="39" t="s">
        <v>23</v>
      </c>
      <c r="E13" s="28" t="s">
        <v>119</v>
      </c>
      <c r="F13" s="41" t="s">
        <v>98</v>
      </c>
      <c r="G13" s="32" t="s">
        <v>70</v>
      </c>
      <c r="H13" s="28" t="s">
        <v>49</v>
      </c>
      <c r="I13" s="28" t="s">
        <v>110</v>
      </c>
      <c r="J13" s="33" t="n">
        <v>0</v>
      </c>
      <c r="K13" s="34" t="s">
        <v>86</v>
      </c>
      <c r="L13" s="28" t="s">
        <v>120</v>
      </c>
    </row>
    <row r="14" customFormat="false" ht="15" hidden="false" customHeight="false" outlineLevel="0" collapsed="false">
      <c r="A14" s="35" t="s">
        <v>121</v>
      </c>
      <c r="B14" s="44" t="s">
        <v>48</v>
      </c>
      <c r="C14" s="35" t="s">
        <v>122</v>
      </c>
      <c r="D14" s="39" t="s">
        <v>23</v>
      </c>
      <c r="E14" s="35" t="s">
        <v>114</v>
      </c>
      <c r="F14" s="41" t="s">
        <v>98</v>
      </c>
      <c r="G14" s="32" t="s">
        <v>70</v>
      </c>
      <c r="H14" s="35" t="s">
        <v>123</v>
      </c>
      <c r="I14" s="35" t="s">
        <v>124</v>
      </c>
      <c r="J14" s="37" t="n">
        <v>0</v>
      </c>
      <c r="K14" s="38" t="s">
        <v>112</v>
      </c>
      <c r="L14" s="35" t="s">
        <v>125</v>
      </c>
    </row>
    <row r="15" customFormat="false" ht="15" hidden="false" customHeight="false" outlineLevel="0" collapsed="false">
      <c r="A15" s="28" t="s">
        <v>126</v>
      </c>
      <c r="B15" s="44" t="s">
        <v>48</v>
      </c>
      <c r="C15" s="28" t="s">
        <v>127</v>
      </c>
      <c r="D15" s="36" t="s">
        <v>29</v>
      </c>
      <c r="E15" s="28" t="s">
        <v>31</v>
      </c>
      <c r="F15" s="31" t="s">
        <v>69</v>
      </c>
      <c r="G15" s="32" t="s">
        <v>70</v>
      </c>
      <c r="H15" s="28" t="s">
        <v>49</v>
      </c>
      <c r="I15" s="28" t="s">
        <v>115</v>
      </c>
      <c r="J15" s="33" t="n">
        <v>0</v>
      </c>
      <c r="K15" s="34" t="s">
        <v>78</v>
      </c>
      <c r="L15" s="28" t="s">
        <v>128</v>
      </c>
    </row>
    <row r="16" customFormat="false" ht="15" hidden="false" customHeight="false" outlineLevel="0" collapsed="false">
      <c r="A16" s="35" t="s">
        <v>129</v>
      </c>
      <c r="B16" s="44" t="s">
        <v>48</v>
      </c>
      <c r="C16" s="35" t="s">
        <v>130</v>
      </c>
      <c r="D16" s="36" t="s">
        <v>29</v>
      </c>
      <c r="E16" s="35" t="s">
        <v>75</v>
      </c>
      <c r="F16" s="31" t="s">
        <v>69</v>
      </c>
      <c r="G16" s="32" t="s">
        <v>70</v>
      </c>
      <c r="H16" s="35" t="s">
        <v>49</v>
      </c>
      <c r="I16" s="35" t="s">
        <v>115</v>
      </c>
      <c r="J16" s="37" t="n">
        <v>0</v>
      </c>
      <c r="K16" s="38" t="s">
        <v>83</v>
      </c>
      <c r="L16" s="35" t="s">
        <v>131</v>
      </c>
    </row>
    <row r="17" customFormat="false" ht="15" hidden="false" customHeight="false" outlineLevel="0" collapsed="false">
      <c r="A17" s="28" t="s">
        <v>132</v>
      </c>
      <c r="B17" s="44" t="s">
        <v>48</v>
      </c>
      <c r="C17" s="28" t="s">
        <v>133</v>
      </c>
      <c r="D17" s="36" t="s">
        <v>29</v>
      </c>
      <c r="E17" s="28" t="s">
        <v>134</v>
      </c>
      <c r="F17" s="41" t="s">
        <v>98</v>
      </c>
      <c r="G17" s="32" t="s">
        <v>70</v>
      </c>
      <c r="H17" s="28" t="s">
        <v>135</v>
      </c>
      <c r="I17" s="28" t="s">
        <v>136</v>
      </c>
      <c r="J17" s="33" t="n">
        <v>0</v>
      </c>
      <c r="K17" s="34" t="s">
        <v>126</v>
      </c>
      <c r="L17" s="28" t="s">
        <v>137</v>
      </c>
    </row>
    <row r="18" customFormat="false" ht="15" hidden="false" customHeight="false" outlineLevel="0" collapsed="false">
      <c r="A18" s="35" t="s">
        <v>138</v>
      </c>
      <c r="B18" s="44" t="s">
        <v>48</v>
      </c>
      <c r="C18" s="35" t="s">
        <v>139</v>
      </c>
      <c r="D18" s="36" t="s">
        <v>29</v>
      </c>
      <c r="E18" s="35" t="s">
        <v>31</v>
      </c>
      <c r="F18" s="41" t="s">
        <v>98</v>
      </c>
      <c r="G18" s="32" t="s">
        <v>70</v>
      </c>
      <c r="H18" s="35" t="s">
        <v>123</v>
      </c>
      <c r="I18" s="35" t="s">
        <v>124</v>
      </c>
      <c r="J18" s="37" t="n">
        <v>0</v>
      </c>
      <c r="K18" s="38" t="s">
        <v>140</v>
      </c>
      <c r="L18" s="35" t="s">
        <v>141</v>
      </c>
    </row>
    <row r="19" customFormat="false" ht="15" hidden="false" customHeight="false" outlineLevel="0" collapsed="false">
      <c r="A19" s="28" t="s">
        <v>142</v>
      </c>
      <c r="B19" s="44" t="s">
        <v>48</v>
      </c>
      <c r="C19" s="28" t="s">
        <v>143</v>
      </c>
      <c r="D19" s="40" t="s">
        <v>26</v>
      </c>
      <c r="E19" s="28" t="s">
        <v>28</v>
      </c>
      <c r="F19" s="31" t="s">
        <v>69</v>
      </c>
      <c r="G19" s="32" t="s">
        <v>70</v>
      </c>
      <c r="H19" s="28" t="s">
        <v>49</v>
      </c>
      <c r="I19" s="28" t="s">
        <v>110</v>
      </c>
      <c r="J19" s="33" t="n">
        <v>0</v>
      </c>
      <c r="K19" s="34" t="s">
        <v>144</v>
      </c>
      <c r="L19" s="28" t="s">
        <v>145</v>
      </c>
    </row>
    <row r="20" customFormat="false" ht="15" hidden="false" customHeight="false" outlineLevel="0" collapsed="false">
      <c r="A20" s="35" t="s">
        <v>146</v>
      </c>
      <c r="B20" s="44" t="s">
        <v>48</v>
      </c>
      <c r="C20" s="35" t="s">
        <v>147</v>
      </c>
      <c r="D20" s="40" t="s">
        <v>26</v>
      </c>
      <c r="E20" s="35" t="s">
        <v>97</v>
      </c>
      <c r="F20" s="31" t="s">
        <v>69</v>
      </c>
      <c r="G20" s="32" t="s">
        <v>70</v>
      </c>
      <c r="H20" s="35" t="s">
        <v>49</v>
      </c>
      <c r="I20" s="35" t="s">
        <v>110</v>
      </c>
      <c r="J20" s="37" t="n">
        <v>0</v>
      </c>
      <c r="K20" s="38" t="s">
        <v>91</v>
      </c>
      <c r="L20" s="35" t="s">
        <v>148</v>
      </c>
    </row>
    <row r="21" customFormat="false" ht="15" hidden="false" customHeight="false" outlineLevel="0" collapsed="false">
      <c r="A21" s="28" t="s">
        <v>149</v>
      </c>
      <c r="B21" s="44" t="s">
        <v>48</v>
      </c>
      <c r="C21" s="28" t="s">
        <v>150</v>
      </c>
      <c r="D21" s="40" t="s">
        <v>26</v>
      </c>
      <c r="E21" s="28" t="s">
        <v>151</v>
      </c>
      <c r="F21" s="31" t="s">
        <v>69</v>
      </c>
      <c r="G21" s="32" t="s">
        <v>70</v>
      </c>
      <c r="H21" s="28" t="s">
        <v>152</v>
      </c>
      <c r="I21" s="28" t="s">
        <v>153</v>
      </c>
      <c r="J21" s="33" t="n">
        <v>0</v>
      </c>
      <c r="K21" s="34" t="s">
        <v>91</v>
      </c>
      <c r="L21" s="28" t="s">
        <v>154</v>
      </c>
    </row>
    <row r="22" customFormat="false" ht="15" hidden="false" customHeight="false" outlineLevel="0" collapsed="false">
      <c r="A22" s="35" t="s">
        <v>155</v>
      </c>
      <c r="B22" s="44" t="s">
        <v>48</v>
      </c>
      <c r="C22" s="35" t="s">
        <v>156</v>
      </c>
      <c r="D22" s="40" t="s">
        <v>26</v>
      </c>
      <c r="E22" s="35" t="s">
        <v>157</v>
      </c>
      <c r="F22" s="31" t="s">
        <v>69</v>
      </c>
      <c r="G22" s="32" t="s">
        <v>70</v>
      </c>
      <c r="H22" s="35" t="s">
        <v>123</v>
      </c>
      <c r="I22" s="35" t="s">
        <v>153</v>
      </c>
      <c r="J22" s="37" t="n">
        <v>0</v>
      </c>
      <c r="K22" s="38" t="s">
        <v>126</v>
      </c>
      <c r="L22" s="35" t="s">
        <v>158</v>
      </c>
    </row>
    <row r="23" customFormat="false" ht="15" hidden="false" customHeight="false" outlineLevel="0" collapsed="false">
      <c r="A23" s="28" t="s">
        <v>159</v>
      </c>
      <c r="B23" s="44" t="s">
        <v>48</v>
      </c>
      <c r="C23" s="28" t="s">
        <v>160</v>
      </c>
      <c r="D23" s="40" t="s">
        <v>26</v>
      </c>
      <c r="E23" s="28" t="s">
        <v>161</v>
      </c>
      <c r="F23" s="31" t="s">
        <v>69</v>
      </c>
      <c r="G23" s="32" t="s">
        <v>70</v>
      </c>
      <c r="H23" s="28" t="s">
        <v>123</v>
      </c>
      <c r="I23" s="28" t="s">
        <v>153</v>
      </c>
      <c r="J23" s="33" t="n">
        <v>0</v>
      </c>
      <c r="K23" s="34" t="s">
        <v>129</v>
      </c>
      <c r="L23" s="28" t="s">
        <v>162</v>
      </c>
    </row>
    <row r="24" customFormat="false" ht="15" hidden="false" customHeight="false" outlineLevel="0" collapsed="false">
      <c r="A24" s="35" t="s">
        <v>163</v>
      </c>
      <c r="B24" s="44" t="s">
        <v>48</v>
      </c>
      <c r="C24" s="35" t="s">
        <v>164</v>
      </c>
      <c r="D24" s="40" t="s">
        <v>26</v>
      </c>
      <c r="E24" s="35" t="s">
        <v>165</v>
      </c>
      <c r="F24" s="31" t="s">
        <v>69</v>
      </c>
      <c r="G24" s="32" t="s">
        <v>70</v>
      </c>
      <c r="H24" s="35" t="s">
        <v>49</v>
      </c>
      <c r="I24" s="35" t="s">
        <v>124</v>
      </c>
      <c r="J24" s="37" t="n">
        <v>0</v>
      </c>
      <c r="K24" s="38" t="s">
        <v>91</v>
      </c>
      <c r="L24" s="35" t="s">
        <v>166</v>
      </c>
    </row>
    <row r="25" customFormat="false" ht="15" hidden="false" customHeight="false" outlineLevel="0" collapsed="false">
      <c r="A25" s="28" t="s">
        <v>167</v>
      </c>
      <c r="B25" s="44" t="s">
        <v>48</v>
      </c>
      <c r="C25" s="28" t="s">
        <v>168</v>
      </c>
      <c r="D25" s="40" t="s">
        <v>26</v>
      </c>
      <c r="E25" s="28" t="s">
        <v>28</v>
      </c>
      <c r="F25" s="41" t="s">
        <v>98</v>
      </c>
      <c r="G25" s="32" t="s">
        <v>70</v>
      </c>
      <c r="H25" s="28" t="s">
        <v>169</v>
      </c>
      <c r="I25" s="28" t="s">
        <v>170</v>
      </c>
      <c r="J25" s="33" t="n">
        <v>0</v>
      </c>
      <c r="K25" s="34" t="s">
        <v>142</v>
      </c>
      <c r="L25" s="28" t="s">
        <v>171</v>
      </c>
    </row>
    <row r="26" customFormat="false" ht="15" hidden="false" customHeight="false" outlineLevel="0" collapsed="false">
      <c r="A26" s="35" t="s">
        <v>172</v>
      </c>
      <c r="B26" s="44" t="s">
        <v>48</v>
      </c>
      <c r="C26" s="35" t="s">
        <v>173</v>
      </c>
      <c r="D26" s="40" t="s">
        <v>26</v>
      </c>
      <c r="E26" s="35" t="s">
        <v>97</v>
      </c>
      <c r="F26" s="41" t="s">
        <v>98</v>
      </c>
      <c r="G26" s="32" t="s">
        <v>70</v>
      </c>
      <c r="H26" s="35" t="s">
        <v>169</v>
      </c>
      <c r="I26" s="35" t="s">
        <v>170</v>
      </c>
      <c r="J26" s="37" t="n">
        <v>0</v>
      </c>
      <c r="K26" s="38" t="s">
        <v>174</v>
      </c>
      <c r="L26" s="35" t="s">
        <v>175</v>
      </c>
    </row>
    <row r="27" customFormat="false" ht="15" hidden="false" customHeight="false" outlineLevel="0" collapsed="false">
      <c r="A27" s="28" t="s">
        <v>176</v>
      </c>
      <c r="B27" s="44" t="s">
        <v>48</v>
      </c>
      <c r="C27" s="28" t="s">
        <v>177</v>
      </c>
      <c r="D27" s="45" t="s">
        <v>32</v>
      </c>
      <c r="E27" s="28" t="s">
        <v>33</v>
      </c>
      <c r="F27" s="41" t="s">
        <v>98</v>
      </c>
      <c r="G27" s="32" t="s">
        <v>70</v>
      </c>
      <c r="H27" s="28" t="s">
        <v>49</v>
      </c>
      <c r="I27" s="28" t="s">
        <v>124</v>
      </c>
      <c r="J27" s="33" t="n">
        <v>0</v>
      </c>
      <c r="K27" s="34"/>
      <c r="L27" s="28" t="s">
        <v>178</v>
      </c>
    </row>
    <row r="28" customFormat="false" ht="15" hidden="false" customHeight="false" outlineLevel="0" collapsed="false">
      <c r="A28" s="35" t="s">
        <v>179</v>
      </c>
      <c r="B28" s="44" t="s">
        <v>48</v>
      </c>
      <c r="C28" s="35" t="s">
        <v>180</v>
      </c>
      <c r="D28" s="45" t="s">
        <v>32</v>
      </c>
      <c r="E28" s="35" t="s">
        <v>33</v>
      </c>
      <c r="F28" s="44" t="s">
        <v>181</v>
      </c>
      <c r="G28" s="32" t="s">
        <v>70</v>
      </c>
      <c r="H28" s="35" t="s">
        <v>182</v>
      </c>
      <c r="I28" s="35" t="s">
        <v>170</v>
      </c>
      <c r="J28" s="37" t="n">
        <v>0</v>
      </c>
      <c r="K28" s="38" t="s">
        <v>176</v>
      </c>
      <c r="L28" s="35" t="s">
        <v>183</v>
      </c>
    </row>
    <row r="29" customFormat="false" ht="15" hidden="false" customHeight="false" outlineLevel="0" collapsed="false">
      <c r="A29" s="28" t="s">
        <v>184</v>
      </c>
      <c r="B29" s="44" t="s">
        <v>48</v>
      </c>
      <c r="C29" s="28" t="s">
        <v>185</v>
      </c>
      <c r="D29" s="45" t="s">
        <v>32</v>
      </c>
      <c r="E29" s="28" t="s">
        <v>33</v>
      </c>
      <c r="F29" s="41" t="s">
        <v>98</v>
      </c>
      <c r="G29" s="32" t="s">
        <v>70</v>
      </c>
      <c r="H29" s="28" t="s">
        <v>169</v>
      </c>
      <c r="I29" s="28" t="s">
        <v>170</v>
      </c>
      <c r="J29" s="33" t="n">
        <v>0</v>
      </c>
      <c r="K29" s="34" t="s">
        <v>186</v>
      </c>
      <c r="L29" s="28" t="s">
        <v>187</v>
      </c>
    </row>
    <row r="30" customFormat="false" ht="15" hidden="false" customHeight="false" outlineLevel="0" collapsed="false">
      <c r="A30" s="35" t="s">
        <v>188</v>
      </c>
      <c r="B30" s="44" t="s">
        <v>48</v>
      </c>
      <c r="C30" s="35" t="s">
        <v>189</v>
      </c>
      <c r="D30" s="30" t="s">
        <v>6</v>
      </c>
      <c r="E30" s="35" t="s">
        <v>7</v>
      </c>
      <c r="F30" s="31" t="s">
        <v>69</v>
      </c>
      <c r="G30" s="32" t="s">
        <v>70</v>
      </c>
      <c r="H30" s="35" t="s">
        <v>49</v>
      </c>
      <c r="I30" s="35" t="s">
        <v>50</v>
      </c>
      <c r="J30" s="37" t="n">
        <v>0</v>
      </c>
      <c r="K30" s="38"/>
      <c r="L30" s="35" t="s">
        <v>190</v>
      </c>
    </row>
    <row r="31" customFormat="false" ht="15" hidden="false" customHeight="false" outlineLevel="0" collapsed="false">
      <c r="A31" s="28" t="s">
        <v>191</v>
      </c>
      <c r="B31" s="44" t="s">
        <v>48</v>
      </c>
      <c r="C31" s="28" t="s">
        <v>192</v>
      </c>
      <c r="D31" s="43" t="s">
        <v>34</v>
      </c>
      <c r="E31" s="28" t="s">
        <v>35</v>
      </c>
      <c r="F31" s="31" t="s">
        <v>69</v>
      </c>
      <c r="G31" s="32" t="s">
        <v>70</v>
      </c>
      <c r="H31" s="28" t="s">
        <v>49</v>
      </c>
      <c r="I31" s="28" t="s">
        <v>193</v>
      </c>
      <c r="J31" s="33" t="n">
        <v>0</v>
      </c>
      <c r="K31" s="34" t="s">
        <v>91</v>
      </c>
      <c r="L31" s="28" t="s">
        <v>194</v>
      </c>
    </row>
    <row r="32" customFormat="false" ht="15" hidden="false" customHeight="false" outlineLevel="0" collapsed="false">
      <c r="A32" s="35" t="s">
        <v>195</v>
      </c>
      <c r="B32" s="31" t="s">
        <v>53</v>
      </c>
      <c r="C32" s="35" t="s">
        <v>196</v>
      </c>
      <c r="D32" s="42" t="s">
        <v>36</v>
      </c>
      <c r="E32" s="35" t="s">
        <v>37</v>
      </c>
      <c r="F32" s="31" t="s">
        <v>69</v>
      </c>
      <c r="G32" s="32" t="s">
        <v>70</v>
      </c>
      <c r="H32" s="35" t="s">
        <v>54</v>
      </c>
      <c r="I32" s="35" t="s">
        <v>197</v>
      </c>
      <c r="J32" s="37" t="n">
        <v>0</v>
      </c>
      <c r="K32" s="38" t="s">
        <v>101</v>
      </c>
      <c r="L32" s="35" t="s">
        <v>198</v>
      </c>
    </row>
    <row r="33" customFormat="false" ht="15" hidden="false" customHeight="false" outlineLevel="0" collapsed="false">
      <c r="A33" s="28" t="s">
        <v>199</v>
      </c>
      <c r="B33" s="31" t="s">
        <v>53</v>
      </c>
      <c r="C33" s="28" t="s">
        <v>200</v>
      </c>
      <c r="D33" s="40" t="s">
        <v>26</v>
      </c>
      <c r="E33" s="28" t="s">
        <v>151</v>
      </c>
      <c r="F33" s="31" t="s">
        <v>69</v>
      </c>
      <c r="G33" s="32" t="s">
        <v>70</v>
      </c>
      <c r="H33" s="28" t="s">
        <v>54</v>
      </c>
      <c r="I33" s="28" t="s">
        <v>201</v>
      </c>
      <c r="J33" s="33" t="n">
        <v>0</v>
      </c>
      <c r="K33" s="34" t="s">
        <v>202</v>
      </c>
      <c r="L33" s="28" t="s">
        <v>203</v>
      </c>
    </row>
    <row r="34" customFormat="false" ht="15" hidden="false" customHeight="false" outlineLevel="0" collapsed="false">
      <c r="A34" s="35" t="s">
        <v>204</v>
      </c>
      <c r="B34" s="31" t="s">
        <v>53</v>
      </c>
      <c r="C34" s="35" t="s">
        <v>205</v>
      </c>
      <c r="D34" s="40" t="s">
        <v>26</v>
      </c>
      <c r="E34" s="35" t="s">
        <v>165</v>
      </c>
      <c r="F34" s="41" t="s">
        <v>98</v>
      </c>
      <c r="G34" s="32" t="s">
        <v>70</v>
      </c>
      <c r="H34" s="35" t="s">
        <v>206</v>
      </c>
      <c r="I34" s="35" t="s">
        <v>207</v>
      </c>
      <c r="J34" s="37" t="n">
        <v>0</v>
      </c>
      <c r="K34" s="38" t="s">
        <v>199</v>
      </c>
      <c r="L34" s="35" t="s">
        <v>208</v>
      </c>
    </row>
    <row r="35" customFormat="false" ht="15" hidden="false" customHeight="false" outlineLevel="0" collapsed="false">
      <c r="A35" s="28" t="s">
        <v>209</v>
      </c>
      <c r="B35" s="31" t="s">
        <v>53</v>
      </c>
      <c r="C35" s="28" t="s">
        <v>210</v>
      </c>
      <c r="D35" s="40" t="s">
        <v>26</v>
      </c>
      <c r="E35" s="28" t="s">
        <v>28</v>
      </c>
      <c r="F35" s="31" t="s">
        <v>69</v>
      </c>
      <c r="G35" s="32" t="s">
        <v>70</v>
      </c>
      <c r="H35" s="28" t="s">
        <v>211</v>
      </c>
      <c r="I35" s="28" t="s">
        <v>212</v>
      </c>
      <c r="J35" s="33" t="n">
        <v>0</v>
      </c>
      <c r="K35" s="34" t="s">
        <v>213</v>
      </c>
      <c r="L35" s="28" t="s">
        <v>214</v>
      </c>
    </row>
    <row r="36" customFormat="false" ht="15" hidden="false" customHeight="false" outlineLevel="0" collapsed="false">
      <c r="A36" s="35" t="s">
        <v>215</v>
      </c>
      <c r="B36" s="31" t="s">
        <v>53</v>
      </c>
      <c r="C36" s="35" t="s">
        <v>216</v>
      </c>
      <c r="D36" s="36" t="s">
        <v>29</v>
      </c>
      <c r="E36" s="35" t="s">
        <v>31</v>
      </c>
      <c r="F36" s="41" t="s">
        <v>98</v>
      </c>
      <c r="G36" s="32" t="s">
        <v>70</v>
      </c>
      <c r="H36" s="35" t="s">
        <v>211</v>
      </c>
      <c r="I36" s="35" t="s">
        <v>217</v>
      </c>
      <c r="J36" s="37" t="n">
        <v>0</v>
      </c>
      <c r="K36" s="38" t="s">
        <v>195</v>
      </c>
      <c r="L36" s="35" t="s">
        <v>218</v>
      </c>
    </row>
    <row r="37" customFormat="false" ht="15" hidden="false" customHeight="false" outlineLevel="0" collapsed="false">
      <c r="A37" s="28" t="s">
        <v>219</v>
      </c>
      <c r="B37" s="31" t="s">
        <v>53</v>
      </c>
      <c r="C37" s="28" t="s">
        <v>220</v>
      </c>
      <c r="D37" s="39" t="s">
        <v>23</v>
      </c>
      <c r="E37" s="28" t="s">
        <v>25</v>
      </c>
      <c r="F37" s="44" t="s">
        <v>181</v>
      </c>
      <c r="G37" s="32" t="s">
        <v>70</v>
      </c>
      <c r="H37" s="28" t="s">
        <v>211</v>
      </c>
      <c r="I37" s="28" t="s">
        <v>217</v>
      </c>
      <c r="J37" s="33" t="n">
        <v>0</v>
      </c>
      <c r="K37" s="34" t="s">
        <v>195</v>
      </c>
      <c r="L37" s="28" t="s">
        <v>221</v>
      </c>
    </row>
    <row r="38" customFormat="false" ht="15" hidden="false" customHeight="false" outlineLevel="0" collapsed="false">
      <c r="A38" s="35" t="s">
        <v>222</v>
      </c>
      <c r="B38" s="31" t="s">
        <v>53</v>
      </c>
      <c r="C38" s="35" t="s">
        <v>223</v>
      </c>
      <c r="D38" s="43" t="s">
        <v>34</v>
      </c>
      <c r="E38" s="35" t="s">
        <v>35</v>
      </c>
      <c r="F38" s="31" t="s">
        <v>69</v>
      </c>
      <c r="G38" s="32" t="s">
        <v>70</v>
      </c>
      <c r="H38" s="35" t="s">
        <v>212</v>
      </c>
      <c r="I38" s="35" t="s">
        <v>11</v>
      </c>
      <c r="J38" s="37" t="n">
        <v>0</v>
      </c>
      <c r="K38" s="38" t="s">
        <v>209</v>
      </c>
      <c r="L38" s="35" t="s">
        <v>224</v>
      </c>
    </row>
    <row r="39" customFormat="false" ht="15" hidden="false" customHeight="false" outlineLevel="0" collapsed="false">
      <c r="A39" s="28" t="s">
        <v>225</v>
      </c>
      <c r="B39" s="31" t="s">
        <v>53</v>
      </c>
      <c r="C39" s="28" t="s">
        <v>226</v>
      </c>
      <c r="D39" s="30" t="s">
        <v>6</v>
      </c>
      <c r="E39" s="28" t="s">
        <v>7</v>
      </c>
      <c r="F39" s="31" t="s">
        <v>69</v>
      </c>
      <c r="G39" s="32" t="s">
        <v>70</v>
      </c>
      <c r="H39" s="28" t="s">
        <v>11</v>
      </c>
      <c r="I39" s="28" t="s">
        <v>11</v>
      </c>
      <c r="J39" s="33" t="n">
        <v>0</v>
      </c>
      <c r="K39" s="34" t="s">
        <v>222</v>
      </c>
      <c r="L39" s="28" t="s">
        <v>227</v>
      </c>
    </row>
  </sheetData>
  <autoFilter ref="A1:L1"/>
  <dataValidations count="2">
    <dataValidation allowBlank="true" error="Vui lòng nhập ngày trong khoảng 01/03/2026 - 30/06/2026" errorStyle="stop" errorTitle="Ngày không hợp lệ" operator="between" prompt="Nhập ngày bắt đầu (dd/mm/yyyy)" promptTitle="Start Date" showDropDown="false" showErrorMessage="true" showInputMessage="true" sqref="H2:H4 I3 H5:H89" type="date">
      <formula1>2026-3-1</formula1>
      <formula2>2026-6-30</formula2>
    </dataValidation>
    <dataValidation allowBlank="true" error="Vui lòng nhập ngày trong khoảng 01/03/2026 - 30/06/2026" errorStyle="stop" errorTitle="Ngày không hợp lệ" operator="between" prompt="Nhập ngày kết thúc (dd/mm/yyyy)" promptTitle="End Date" showDropDown="false" showErrorMessage="true" showInputMessage="true" sqref="I2 I4:I89" type="date">
      <formula1>2026-3-1</formula1>
      <formula2>2026-6-30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N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14" min="4" style="0" width="12"/>
  </cols>
  <sheetData>
    <row r="1" customFormat="false" ht="27.75" hidden="false" customHeight="true" outlineLevel="0" collapsed="false">
      <c r="A1" s="46" t="s">
        <v>228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customFormat="false" ht="31.5" hidden="false" customHeight="true" outlineLevel="0" collapsed="false">
      <c r="A2" s="47" t="s">
        <v>56</v>
      </c>
      <c r="B2" s="47" t="s">
        <v>58</v>
      </c>
      <c r="C2" s="47" t="s">
        <v>19</v>
      </c>
      <c r="D2" s="47" t="s">
        <v>59</v>
      </c>
      <c r="E2" s="47" t="s">
        <v>229</v>
      </c>
      <c r="F2" s="47" t="s">
        <v>230</v>
      </c>
      <c r="G2" s="48" t="s">
        <v>231</v>
      </c>
      <c r="H2" s="48" t="s">
        <v>232</v>
      </c>
      <c r="I2" s="48" t="s">
        <v>233</v>
      </c>
      <c r="J2" s="48" t="s">
        <v>234</v>
      </c>
      <c r="K2" s="48" t="s">
        <v>235</v>
      </c>
      <c r="L2" s="48" t="s">
        <v>236</v>
      </c>
      <c r="M2" s="48" t="s">
        <v>237</v>
      </c>
      <c r="N2" s="48" t="s">
        <v>238</v>
      </c>
    </row>
    <row r="3" customFormat="false" ht="15" hidden="false" customHeight="false" outlineLevel="0" collapsed="false">
      <c r="A3" s="49" t="str">
        <f aca="false">'Task Assignment'!A2</f>
        <v>T001</v>
      </c>
      <c r="B3" s="50" t="str">
        <f aca="false">'Task Assignment'!C2</f>
        <v>Game Design Document (GDD)</v>
      </c>
      <c r="C3" s="51" t="str">
        <f aca="false">'Task Assignment'!D2</f>
        <v>PM</v>
      </c>
      <c r="D3" s="51" t="str">
        <f aca="false">'Task Assignment'!E2</f>
        <v>ToanNM</v>
      </c>
      <c r="E3" s="52" t="str">
        <f aca="false">'Task Assignment'!H2</f>
        <v>03/03/2026</v>
      </c>
      <c r="F3" s="52" t="str">
        <f aca="false">'Task Assignment'!I2</f>
        <v>06/03/2026</v>
      </c>
      <c r="G3" s="53" t="str">
        <f aca="false">IF(AND(E3&lt;&gt;"",F3&lt;&gt;"",E3&lt;=46090,F3&gt;=46084),'Task Assignment'!J2,"")</f>
        <v/>
      </c>
      <c r="H3" s="53" t="str">
        <f aca="false">IF(AND(E3&lt;&gt;"",F3&lt;&gt;"",E3&lt;=46097,F3&gt;=46091),'Task Assignment'!J2,"")</f>
        <v/>
      </c>
      <c r="I3" s="53" t="str">
        <f aca="false">IF(AND(E3&lt;&gt;"",F3&lt;&gt;"",E3&lt;=46104,F3&gt;=46098),'Task Assignment'!J2,"")</f>
        <v/>
      </c>
      <c r="J3" s="53" t="str">
        <f aca="false">IF(AND(E3&lt;&gt;"",F3&lt;&gt;"",E3&lt;=46111,F3&gt;=46105),'Task Assignment'!J2,"")</f>
        <v/>
      </c>
      <c r="K3" s="53" t="str">
        <f aca="false">IF(AND(E3&lt;&gt;"",F3&lt;&gt;"",E3&lt;=46118,F3&gt;=46112),'Task Assignment'!J2,"")</f>
        <v/>
      </c>
      <c r="L3" s="53" t="str">
        <f aca="false">IF(AND(E3&lt;&gt;"",F3&lt;&gt;"",E3&lt;=46125,F3&gt;=46119),'Task Assignment'!J2,"")</f>
        <v/>
      </c>
      <c r="M3" s="53" t="str">
        <f aca="false">IF(AND(E3&lt;&gt;"",F3&lt;&gt;"",E3&lt;=46132,F3&gt;=46126),'Task Assignment'!J2,"")</f>
        <v/>
      </c>
      <c r="N3" s="53" t="str">
        <f aca="false">IF(AND(E3&lt;&gt;"",F3&lt;&gt;"",E3&lt;=46139,F3&gt;=46133),'Task Assignment'!J2,"")</f>
        <v/>
      </c>
    </row>
    <row r="4" customFormat="false" ht="15" hidden="false" customHeight="false" outlineLevel="0" collapsed="false">
      <c r="A4" s="54" t="str">
        <f aca="false">'Task Assignment'!A3</f>
        <v>T0038</v>
      </c>
      <c r="B4" s="55" t="str">
        <f aca="false">'Task Assignment'!C3</f>
        <v>Design Bàn chơi</v>
      </c>
      <c r="C4" s="56" t="str">
        <f aca="false">'Task Assignment'!D3</f>
        <v>Design</v>
      </c>
      <c r="D4" s="56" t="str">
        <f aca="false">'Task Assignment'!E3</f>
        <v>QuynhNH</v>
      </c>
      <c r="E4" s="57" t="str">
        <f aca="false">'Task Assignment'!H3</f>
        <v>03/03/2026</v>
      </c>
      <c r="F4" s="57" t="str">
        <f aca="false">'Task Assignment'!I3</f>
        <v>03/03/2026</v>
      </c>
      <c r="G4" s="58" t="str">
        <f aca="false">IF(AND(E4&lt;&gt;"",F4&lt;&gt;"",E4&lt;=46090,F4&gt;=46084),'Task Assignment'!J3,"")</f>
        <v/>
      </c>
      <c r="H4" s="58" t="str">
        <f aca="false">IF(AND(E4&lt;&gt;"",F4&lt;&gt;"",E4&lt;=46097,F4&gt;=46091),'Task Assignment'!J3,"")</f>
        <v/>
      </c>
      <c r="I4" s="58" t="str">
        <f aca="false">IF(AND(E4&lt;&gt;"",F4&lt;&gt;"",E4&lt;=46104,F4&gt;=46098),'Task Assignment'!J3,"")</f>
        <v/>
      </c>
      <c r="J4" s="58" t="str">
        <f aca="false">IF(AND(E4&lt;&gt;"",F4&lt;&gt;"",E4&lt;=46111,F4&gt;=46105),'Task Assignment'!J3,"")</f>
        <v/>
      </c>
      <c r="K4" s="58" t="str">
        <f aca="false">IF(AND(E4&lt;&gt;"",F4&lt;&gt;"",E4&lt;=46118,F4&gt;=46112),'Task Assignment'!J3,"")</f>
        <v/>
      </c>
      <c r="L4" s="58" t="str">
        <f aca="false">IF(AND(E4&lt;&gt;"",F4&lt;&gt;"",E4&lt;=46125,F4&gt;=46119),'Task Assignment'!J3,"")</f>
        <v/>
      </c>
      <c r="M4" s="58" t="str">
        <f aca="false">IF(AND(E4&lt;&gt;"",F4&lt;&gt;"",E4&lt;=46132,F4&gt;=46126),'Task Assignment'!J3,"")</f>
        <v/>
      </c>
      <c r="N4" s="58" t="str">
        <f aca="false">IF(AND(E4&lt;&gt;"",F4&lt;&gt;"",E4&lt;=46139,F4&gt;=46133),'Task Assignment'!J3,"")</f>
        <v/>
      </c>
    </row>
    <row r="5" customFormat="false" ht="15" hidden="false" customHeight="false" outlineLevel="0" collapsed="false">
      <c r="A5" s="49" t="str">
        <f aca="false">'Task Assignment'!A4</f>
        <v>T002</v>
      </c>
      <c r="B5" s="50" t="str">
        <f aca="false">'Task Assignment'!C4</f>
        <v>UI/UX Wireframe - Lobby</v>
      </c>
      <c r="C5" s="51" t="str">
        <f aca="false">'Task Assignment'!D4</f>
        <v>Design</v>
      </c>
      <c r="D5" s="51" t="str">
        <f aca="false">'Task Assignment'!E4</f>
        <v>LocPT</v>
      </c>
      <c r="E5" s="52" t="str">
        <f aca="false">'Task Assignment'!H4</f>
        <v>04/03/2026</v>
      </c>
      <c r="F5" s="52" t="str">
        <f aca="false">'Task Assignment'!I4</f>
        <v>09/03/2026</v>
      </c>
      <c r="G5" s="53" t="str">
        <f aca="false">IF(AND(E5&lt;&gt;"",F5&lt;&gt;"",E5&lt;=46090,F5&gt;=46084),'Task Assignment'!J4,"")</f>
        <v/>
      </c>
      <c r="H5" s="53" t="str">
        <f aca="false">IF(AND(E5&lt;&gt;"",F5&lt;&gt;"",E5&lt;=46097,F5&gt;=46091),'Task Assignment'!J4,"")</f>
        <v/>
      </c>
      <c r="I5" s="53" t="str">
        <f aca="false">IF(AND(E5&lt;&gt;"",F5&lt;&gt;"",E5&lt;=46104,F5&gt;=46098),'Task Assignment'!J4,"")</f>
        <v/>
      </c>
      <c r="J5" s="53" t="str">
        <f aca="false">IF(AND(E5&lt;&gt;"",F5&lt;&gt;"",E5&lt;=46111,F5&gt;=46105),'Task Assignment'!J4,"")</f>
        <v/>
      </c>
      <c r="K5" s="53" t="str">
        <f aca="false">IF(AND(E5&lt;&gt;"",F5&lt;&gt;"",E5&lt;=46118,F5&gt;=46112),'Task Assignment'!J4,"")</f>
        <v/>
      </c>
      <c r="L5" s="53" t="str">
        <f aca="false">IF(AND(E5&lt;&gt;"",F5&lt;&gt;"",E5&lt;=46125,F5&gt;=46119),'Task Assignment'!J4,"")</f>
        <v/>
      </c>
      <c r="M5" s="53" t="str">
        <f aca="false">IF(AND(E5&lt;&gt;"",F5&lt;&gt;"",E5&lt;=46132,F5&gt;=46126),'Task Assignment'!J4,"")</f>
        <v/>
      </c>
      <c r="N5" s="53" t="str">
        <f aca="false">IF(AND(E5&lt;&gt;"",F5&lt;&gt;"",E5&lt;=46139,F5&gt;=46133),'Task Assignment'!J4,"")</f>
        <v/>
      </c>
    </row>
    <row r="6" customFormat="false" ht="15" hidden="false" customHeight="false" outlineLevel="0" collapsed="false">
      <c r="A6" s="54" t="str">
        <f aca="false">'Task Assignment'!A5</f>
        <v>T003</v>
      </c>
      <c r="B6" s="55" t="str">
        <f aca="false">'Task Assignment'!C5</f>
        <v>UI/UX Wireframe - Gameplay</v>
      </c>
      <c r="C6" s="56" t="str">
        <f aca="false">'Task Assignment'!D5</f>
        <v>Design</v>
      </c>
      <c r="D6" s="56" t="str">
        <f aca="false">'Task Assignment'!E5</f>
        <v>QuynhNH</v>
      </c>
      <c r="E6" s="57" t="str">
        <f aca="false">'Task Assignment'!H5</f>
        <v>04/03/2026</v>
      </c>
      <c r="F6" s="57" t="str">
        <f aca="false">'Task Assignment'!I5</f>
        <v>09/03/2026</v>
      </c>
      <c r="G6" s="58" t="str">
        <f aca="false">IF(AND(E6&lt;&gt;"",F6&lt;&gt;"",E6&lt;=46090,F6&gt;=46084),'Task Assignment'!J5,"")</f>
        <v/>
      </c>
      <c r="H6" s="58" t="str">
        <f aca="false">IF(AND(E6&lt;&gt;"",F6&lt;&gt;"",E6&lt;=46097,F6&gt;=46091),'Task Assignment'!J5,"")</f>
        <v/>
      </c>
      <c r="I6" s="58" t="str">
        <f aca="false">IF(AND(E6&lt;&gt;"",F6&lt;&gt;"",E6&lt;=46104,F6&gt;=46098),'Task Assignment'!J5,"")</f>
        <v/>
      </c>
      <c r="J6" s="58" t="str">
        <f aca="false">IF(AND(E6&lt;&gt;"",F6&lt;&gt;"",E6&lt;=46111,F6&gt;=46105),'Task Assignment'!J5,"")</f>
        <v/>
      </c>
      <c r="K6" s="58" t="str">
        <f aca="false">IF(AND(E6&lt;&gt;"",F6&lt;&gt;"",E6&lt;=46118,F6&gt;=46112),'Task Assignment'!J5,"")</f>
        <v/>
      </c>
      <c r="L6" s="58" t="str">
        <f aca="false">IF(AND(E6&lt;&gt;"",F6&lt;&gt;"",E6&lt;=46125,F6&gt;=46119),'Task Assignment'!J5,"")</f>
        <v/>
      </c>
      <c r="M6" s="58" t="str">
        <f aca="false">IF(AND(E6&lt;&gt;"",F6&lt;&gt;"",E6&lt;=46132,F6&gt;=46126),'Task Assignment'!J5,"")</f>
        <v/>
      </c>
      <c r="N6" s="58" t="str">
        <f aca="false">IF(AND(E6&lt;&gt;"",F6&lt;&gt;"",E6&lt;=46139,F6&gt;=46133),'Task Assignment'!J5,"")</f>
        <v/>
      </c>
    </row>
    <row r="7" customFormat="false" ht="15" hidden="false" customHeight="false" outlineLevel="0" collapsed="false">
      <c r="A7" s="49" t="str">
        <f aca="false">'Task Assignment'!A6</f>
        <v>T004</v>
      </c>
      <c r="B7" s="50" t="str">
        <f aca="false">'Task Assignment'!C6</f>
        <v>Art Style Guide</v>
      </c>
      <c r="C7" s="51" t="str">
        <f aca="false">'Task Assignment'!D6</f>
        <v>Art</v>
      </c>
      <c r="D7" s="51" t="str">
        <f aca="false">'Task Assignment'!E6</f>
        <v>HòaGTT</v>
      </c>
      <c r="E7" s="52" t="str">
        <f aca="false">'Task Assignment'!H6</f>
        <v>05/03/2026</v>
      </c>
      <c r="F7" s="52" t="str">
        <f aca="false">'Task Assignment'!I6</f>
        <v>10/03/2026</v>
      </c>
      <c r="G7" s="53" t="str">
        <f aca="false">IF(AND(E7&lt;&gt;"",F7&lt;&gt;"",E7&lt;=46090,F7&gt;=46084),'Task Assignment'!J6,"")</f>
        <v/>
      </c>
      <c r="H7" s="53" t="str">
        <f aca="false">IF(AND(E7&lt;&gt;"",F7&lt;&gt;"",E7&lt;=46097,F7&gt;=46091),'Task Assignment'!J6,"")</f>
        <v/>
      </c>
      <c r="I7" s="53" t="str">
        <f aca="false">IF(AND(E7&lt;&gt;"",F7&lt;&gt;"",E7&lt;=46104,F7&gt;=46098),'Task Assignment'!J6,"")</f>
        <v/>
      </c>
      <c r="J7" s="53" t="str">
        <f aca="false">IF(AND(E7&lt;&gt;"",F7&lt;&gt;"",E7&lt;=46111,F7&gt;=46105),'Task Assignment'!J6,"")</f>
        <v/>
      </c>
      <c r="K7" s="53" t="str">
        <f aca="false">IF(AND(E7&lt;&gt;"",F7&lt;&gt;"",E7&lt;=46118,F7&gt;=46112),'Task Assignment'!J6,"")</f>
        <v/>
      </c>
      <c r="L7" s="53" t="str">
        <f aca="false">IF(AND(E7&lt;&gt;"",F7&lt;&gt;"",E7&lt;=46125,F7&gt;=46119),'Task Assignment'!J6,"")</f>
        <v/>
      </c>
      <c r="M7" s="53" t="str">
        <f aca="false">IF(AND(E7&lt;&gt;"",F7&lt;&gt;"",E7&lt;=46132,F7&gt;=46126),'Task Assignment'!J6,"")</f>
        <v/>
      </c>
      <c r="N7" s="53" t="str">
        <f aca="false">IF(AND(E7&lt;&gt;"",F7&lt;&gt;"",E7&lt;=46139,F7&gt;=46133),'Task Assignment'!J6,"")</f>
        <v/>
      </c>
    </row>
    <row r="8" customFormat="false" ht="15" hidden="false" customHeight="false" outlineLevel="0" collapsed="false">
      <c r="A8" s="54" t="str">
        <f aca="false">'Task Assignment'!A7</f>
        <v>T005</v>
      </c>
      <c r="B8" s="55" t="str">
        <f aca="false">'Task Assignment'!C7</f>
        <v>Technical Architecture</v>
      </c>
      <c r="C8" s="56" t="str">
        <f aca="false">'Task Assignment'!D7</f>
        <v>Dev</v>
      </c>
      <c r="D8" s="56" t="str">
        <f aca="false">'Task Assignment'!E7</f>
        <v>CongNN</v>
      </c>
      <c r="E8" s="57" t="str">
        <f aca="false">'Task Assignment'!H7</f>
        <v>04/03/2026</v>
      </c>
      <c r="F8" s="57" t="str">
        <f aca="false">'Task Assignment'!I7</f>
        <v>08/03/2026</v>
      </c>
      <c r="G8" s="58" t="str">
        <f aca="false">IF(AND(E8&lt;&gt;"",F8&lt;&gt;"",E8&lt;=46090,F8&gt;=46084),'Task Assignment'!J7,"")</f>
        <v/>
      </c>
      <c r="H8" s="58" t="str">
        <f aca="false">IF(AND(E8&lt;&gt;"",F8&lt;&gt;"",E8&lt;=46097,F8&gt;=46091),'Task Assignment'!J7,"")</f>
        <v/>
      </c>
      <c r="I8" s="58" t="str">
        <f aca="false">IF(AND(E8&lt;&gt;"",F8&lt;&gt;"",E8&lt;=46104,F8&gt;=46098),'Task Assignment'!J7,"")</f>
        <v/>
      </c>
      <c r="J8" s="58" t="str">
        <f aca="false">IF(AND(E8&lt;&gt;"",F8&lt;&gt;"",E8&lt;=46111,F8&gt;=46105),'Task Assignment'!J7,"")</f>
        <v/>
      </c>
      <c r="K8" s="58" t="str">
        <f aca="false">IF(AND(E8&lt;&gt;"",F8&lt;&gt;"",E8&lt;=46118,F8&gt;=46112),'Task Assignment'!J7,"")</f>
        <v/>
      </c>
      <c r="L8" s="58" t="str">
        <f aca="false">IF(AND(E8&lt;&gt;"",F8&lt;&gt;"",E8&lt;=46125,F8&gt;=46119),'Task Assignment'!J7,"")</f>
        <v/>
      </c>
      <c r="M8" s="58" t="str">
        <f aca="false">IF(AND(E8&lt;&gt;"",F8&lt;&gt;"",E8&lt;=46132,F8&gt;=46126),'Task Assignment'!J7,"")</f>
        <v/>
      </c>
      <c r="N8" s="58" t="str">
        <f aca="false">IF(AND(E8&lt;&gt;"",F8&lt;&gt;"",E8&lt;=46139,F8&gt;=46133),'Task Assignment'!J7,"")</f>
        <v/>
      </c>
    </row>
    <row r="9" customFormat="false" ht="15" hidden="false" customHeight="false" outlineLevel="0" collapsed="false">
      <c r="A9" s="49" t="str">
        <f aca="false">'Task Assignment'!A8</f>
        <v>T006</v>
      </c>
      <c r="B9" s="50" t="str">
        <f aca="false">'Task Assignment'!C8</f>
        <v>Prototype - Core Gameplay</v>
      </c>
      <c r="C9" s="51" t="str">
        <f aca="false">'Task Assignment'!D8</f>
        <v>Dev</v>
      </c>
      <c r="D9" s="51" t="str">
        <f aca="false">'Task Assignment'!E8</f>
        <v>HuongBP</v>
      </c>
      <c r="E9" s="52" t="str">
        <f aca="false">'Task Assignment'!H8</f>
        <v>09/03/2026</v>
      </c>
      <c r="F9" s="52" t="str">
        <f aca="false">'Task Assignment'!I8</f>
        <v>15/03/2026</v>
      </c>
      <c r="G9" s="53" t="str">
        <f aca="false">IF(AND(E9&lt;&gt;"",F9&lt;&gt;"",E9&lt;=46090,F9&gt;=46084),'Task Assignment'!J8,"")</f>
        <v/>
      </c>
      <c r="H9" s="53" t="str">
        <f aca="false">IF(AND(E9&lt;&gt;"",F9&lt;&gt;"",E9&lt;=46097,F9&gt;=46091),'Task Assignment'!J8,"")</f>
        <v/>
      </c>
      <c r="I9" s="53" t="str">
        <f aca="false">IF(AND(E9&lt;&gt;"",F9&lt;&gt;"",E9&lt;=46104,F9&gt;=46098),'Task Assignment'!J8,"")</f>
        <v/>
      </c>
      <c r="J9" s="53" t="str">
        <f aca="false">IF(AND(E9&lt;&gt;"",F9&lt;&gt;"",E9&lt;=46111,F9&gt;=46105),'Task Assignment'!J8,"")</f>
        <v/>
      </c>
      <c r="K9" s="53" t="str">
        <f aca="false">IF(AND(E9&lt;&gt;"",F9&lt;&gt;"",E9&lt;=46118,F9&gt;=46112),'Task Assignment'!J8,"")</f>
        <v/>
      </c>
      <c r="L9" s="53" t="str">
        <f aca="false">IF(AND(E9&lt;&gt;"",F9&lt;&gt;"",E9&lt;=46125,F9&gt;=46119),'Task Assignment'!J8,"")</f>
        <v/>
      </c>
      <c r="M9" s="53" t="str">
        <f aca="false">IF(AND(E9&lt;&gt;"",F9&lt;&gt;"",E9&lt;=46132,F9&gt;=46126),'Task Assignment'!J8,"")</f>
        <v/>
      </c>
      <c r="N9" s="53" t="str">
        <f aca="false">IF(AND(E9&lt;&gt;"",F9&lt;&gt;"",E9&lt;=46139,F9&gt;=46133),'Task Assignment'!J8,"")</f>
        <v/>
      </c>
    </row>
    <row r="10" customFormat="false" ht="15" hidden="false" customHeight="false" outlineLevel="0" collapsed="false">
      <c r="A10" s="54" t="str">
        <f aca="false">'Task Assignment'!A9</f>
        <v>T007</v>
      </c>
      <c r="B10" s="55" t="str">
        <f aca="false">'Task Assignment'!C9</f>
        <v>QA Test Plan</v>
      </c>
      <c r="C10" s="56" t="str">
        <f aca="false">'Task Assignment'!D9</f>
        <v>QC</v>
      </c>
      <c r="D10" s="56" t="str">
        <f aca="false">'Task Assignment'!E9</f>
        <v>NhanNT3</v>
      </c>
      <c r="E10" s="57" t="str">
        <f aca="false">'Task Assignment'!H9</f>
        <v>09/03/2026</v>
      </c>
      <c r="F10" s="57" t="str">
        <f aca="false">'Task Assignment'!I9</f>
        <v>13/03/2026</v>
      </c>
      <c r="G10" s="58" t="str">
        <f aca="false">IF(AND(E10&lt;&gt;"",F10&lt;&gt;"",E10&lt;=46090,F10&gt;=46084),'Task Assignment'!J9,"")</f>
        <v/>
      </c>
      <c r="H10" s="58" t="str">
        <f aca="false">IF(AND(E10&lt;&gt;"",F10&lt;&gt;"",E10&lt;=46097,F10&gt;=46091),'Task Assignment'!J9,"")</f>
        <v/>
      </c>
      <c r="I10" s="58" t="str">
        <f aca="false">IF(AND(E10&lt;&gt;"",F10&lt;&gt;"",E10&lt;=46104,F10&gt;=46098),'Task Assignment'!J9,"")</f>
        <v/>
      </c>
      <c r="J10" s="58" t="str">
        <f aca="false">IF(AND(E10&lt;&gt;"",F10&lt;&gt;"",E10&lt;=46111,F10&gt;=46105),'Task Assignment'!J9,"")</f>
        <v/>
      </c>
      <c r="K10" s="58" t="str">
        <f aca="false">IF(AND(E10&lt;&gt;"",F10&lt;&gt;"",E10&lt;=46118,F10&gt;=46112),'Task Assignment'!J9,"")</f>
        <v/>
      </c>
      <c r="L10" s="58" t="str">
        <f aca="false">IF(AND(E10&lt;&gt;"",F10&lt;&gt;"",E10&lt;=46125,F10&gt;=46119),'Task Assignment'!J9,"")</f>
        <v/>
      </c>
      <c r="M10" s="58" t="str">
        <f aca="false">IF(AND(E10&lt;&gt;"",F10&lt;&gt;"",E10&lt;=46132,F10&gt;=46126),'Task Assignment'!J9,"")</f>
        <v/>
      </c>
      <c r="N10" s="58" t="str">
        <f aca="false">IF(AND(E10&lt;&gt;"",F10&lt;&gt;"",E10&lt;=46139,F10&gt;=46133),'Task Assignment'!J9,"")</f>
        <v/>
      </c>
    </row>
    <row r="11" customFormat="false" ht="15" hidden="false" customHeight="false" outlineLevel="0" collapsed="false">
      <c r="A11" s="49" t="str">
        <f aca="false">'Task Assignment'!A10</f>
        <v>T008</v>
      </c>
      <c r="B11" s="50" t="str">
        <f aca="false">'Task Assignment'!C10</f>
        <v>Resource &amp; Timeline Planning</v>
      </c>
      <c r="C11" s="51" t="str">
        <f aca="false">'Task Assignment'!D10</f>
        <v>OP</v>
      </c>
      <c r="D11" s="51" t="str">
        <f aca="false">'Task Assignment'!E10</f>
        <v>NienND</v>
      </c>
      <c r="E11" s="52" t="str">
        <f aca="false">'Task Assignment'!H10</f>
        <v>03/03/2026</v>
      </c>
      <c r="F11" s="52" t="str">
        <f aca="false">'Task Assignment'!I10</f>
        <v>06/03/2026</v>
      </c>
      <c r="G11" s="53" t="str">
        <f aca="false">IF(AND(E11&lt;&gt;"",F11&lt;&gt;"",E11&lt;=46090,F11&gt;=46084),'Task Assignment'!J10,"")</f>
        <v/>
      </c>
      <c r="H11" s="53" t="str">
        <f aca="false">IF(AND(E11&lt;&gt;"",F11&lt;&gt;"",E11&lt;=46097,F11&gt;=46091),'Task Assignment'!J10,"")</f>
        <v/>
      </c>
      <c r="I11" s="53" t="str">
        <f aca="false">IF(AND(E11&lt;&gt;"",F11&lt;&gt;"",E11&lt;=46104,F11&gt;=46098),'Task Assignment'!J10,"")</f>
        <v/>
      </c>
      <c r="J11" s="53" t="str">
        <f aca="false">IF(AND(E11&lt;&gt;"",F11&lt;&gt;"",E11&lt;=46111,F11&gt;=46105),'Task Assignment'!J10,"")</f>
        <v/>
      </c>
      <c r="K11" s="53" t="str">
        <f aca="false">IF(AND(E11&lt;&gt;"",F11&lt;&gt;"",E11&lt;=46118,F11&gt;=46112),'Task Assignment'!J10,"")</f>
        <v/>
      </c>
      <c r="L11" s="53" t="str">
        <f aca="false">IF(AND(E11&lt;&gt;"",F11&lt;&gt;"",E11&lt;=46125,F11&gt;=46119),'Task Assignment'!J10,"")</f>
        <v/>
      </c>
      <c r="M11" s="53" t="str">
        <f aca="false">IF(AND(E11&lt;&gt;"",F11&lt;&gt;"",E11&lt;=46132,F11&gt;=46126),'Task Assignment'!J10,"")</f>
        <v/>
      </c>
      <c r="N11" s="53" t="str">
        <f aca="false">IF(AND(E11&lt;&gt;"",F11&lt;&gt;"",E11&lt;=46139,F11&gt;=46133),'Task Assignment'!J10,"")</f>
        <v/>
      </c>
    </row>
    <row r="12" customFormat="false" ht="15" hidden="false" customHeight="false" outlineLevel="0" collapsed="false">
      <c r="A12" s="54" t="str">
        <f aca="false">'Task Assignment'!A11</f>
        <v>T009</v>
      </c>
      <c r="B12" s="55" t="str">
        <f aca="false">'Task Assignment'!C11</f>
        <v>Card Design (52 lá bài)</v>
      </c>
      <c r="C12" s="56" t="str">
        <f aca="false">'Task Assignment'!D11</f>
        <v>Art</v>
      </c>
      <c r="D12" s="56" t="str">
        <f aca="false">'Task Assignment'!E11</f>
        <v>HòaGTT</v>
      </c>
      <c r="E12" s="57" t="str">
        <f aca="false">'Task Assignment'!H11</f>
        <v>18/03/2026</v>
      </c>
      <c r="F12" s="57" t="str">
        <f aca="false">'Task Assignment'!I11</f>
        <v>27/03/2026</v>
      </c>
      <c r="G12" s="58" t="str">
        <f aca="false">IF(AND(E12&lt;&gt;"",F12&lt;&gt;"",E12&lt;=46090,F12&gt;=46084),'Task Assignment'!J11,"")</f>
        <v/>
      </c>
      <c r="H12" s="58" t="str">
        <f aca="false">IF(AND(E12&lt;&gt;"",F12&lt;&gt;"",E12&lt;=46097,F12&gt;=46091),'Task Assignment'!J11,"")</f>
        <v/>
      </c>
      <c r="I12" s="58" t="str">
        <f aca="false">IF(AND(E12&lt;&gt;"",F12&lt;&gt;"",E12&lt;=46104,F12&gt;=46098),'Task Assignment'!J11,"")</f>
        <v/>
      </c>
      <c r="J12" s="58" t="str">
        <f aca="false">IF(AND(E12&lt;&gt;"",F12&lt;&gt;"",E12&lt;=46111,F12&gt;=46105),'Task Assignment'!J11,"")</f>
        <v/>
      </c>
      <c r="K12" s="58" t="str">
        <f aca="false">IF(AND(E12&lt;&gt;"",F12&lt;&gt;"",E12&lt;=46118,F12&gt;=46112),'Task Assignment'!J11,"")</f>
        <v/>
      </c>
      <c r="L12" s="58" t="str">
        <f aca="false">IF(AND(E12&lt;&gt;"",F12&lt;&gt;"",E12&lt;=46125,F12&gt;=46119),'Task Assignment'!J11,"")</f>
        <v/>
      </c>
      <c r="M12" s="58" t="str">
        <f aca="false">IF(AND(E12&lt;&gt;"",F12&lt;&gt;"",E12&lt;=46132,F12&gt;=46126),'Task Assignment'!J11,"")</f>
        <v/>
      </c>
      <c r="N12" s="58" t="str">
        <f aca="false">IF(AND(E12&lt;&gt;"",F12&lt;&gt;"",E12&lt;=46139,F12&gt;=46133),'Task Assignment'!J11,"")</f>
        <v/>
      </c>
    </row>
    <row r="13" customFormat="false" ht="15" hidden="false" customHeight="false" outlineLevel="0" collapsed="false">
      <c r="A13" s="49" t="str">
        <f aca="false">'Task Assignment'!A12</f>
        <v>T010</v>
      </c>
      <c r="B13" s="50" t="str">
        <f aca="false">'Task Assignment'!C12</f>
        <v>Table &amp; Background Art</v>
      </c>
      <c r="C13" s="51" t="str">
        <f aca="false">'Task Assignment'!D12</f>
        <v>Art</v>
      </c>
      <c r="D13" s="51" t="str">
        <f aca="false">'Task Assignment'!E12</f>
        <v>TuND4</v>
      </c>
      <c r="E13" s="52" t="str">
        <f aca="false">'Task Assignment'!H12</f>
        <v>18/03/2026</v>
      </c>
      <c r="F13" s="52" t="str">
        <f aca="false">'Task Assignment'!I12</f>
        <v>25/03/2026</v>
      </c>
      <c r="G13" s="53" t="str">
        <f aca="false">IF(AND(E13&lt;&gt;"",F13&lt;&gt;"",E13&lt;=46090,F13&gt;=46084),'Task Assignment'!J12,"")</f>
        <v/>
      </c>
      <c r="H13" s="53" t="str">
        <f aca="false">IF(AND(E13&lt;&gt;"",F13&lt;&gt;"",E13&lt;=46097,F13&gt;=46091),'Task Assignment'!J12,"")</f>
        <v/>
      </c>
      <c r="I13" s="53" t="str">
        <f aca="false">IF(AND(E13&lt;&gt;"",F13&lt;&gt;"",E13&lt;=46104,F13&gt;=46098),'Task Assignment'!J12,"")</f>
        <v/>
      </c>
      <c r="J13" s="53" t="str">
        <f aca="false">IF(AND(E13&lt;&gt;"",F13&lt;&gt;"",E13&lt;=46111,F13&gt;=46105),'Task Assignment'!J12,"")</f>
        <v/>
      </c>
      <c r="K13" s="53" t="str">
        <f aca="false">IF(AND(E13&lt;&gt;"",F13&lt;&gt;"",E13&lt;=46118,F13&gt;=46112),'Task Assignment'!J12,"")</f>
        <v/>
      </c>
      <c r="L13" s="53" t="str">
        <f aca="false">IF(AND(E13&lt;&gt;"",F13&lt;&gt;"",E13&lt;=46125,F13&gt;=46119),'Task Assignment'!J12,"")</f>
        <v/>
      </c>
      <c r="M13" s="53" t="str">
        <f aca="false">IF(AND(E13&lt;&gt;"",F13&lt;&gt;"",E13&lt;=46132,F13&gt;=46126),'Task Assignment'!J12,"")</f>
        <v/>
      </c>
      <c r="N13" s="53" t="str">
        <f aca="false">IF(AND(E13&lt;&gt;"",F13&lt;&gt;"",E13&lt;=46139,F13&gt;=46133),'Task Assignment'!J12,"")</f>
        <v/>
      </c>
    </row>
    <row r="14" customFormat="false" ht="15" hidden="false" customHeight="false" outlineLevel="0" collapsed="false">
      <c r="A14" s="54" t="str">
        <f aca="false">'Task Assignment'!A13</f>
        <v>T011</v>
      </c>
      <c r="B14" s="55" t="str">
        <f aca="false">'Task Assignment'!C13</f>
        <v>Character/Avatar Design</v>
      </c>
      <c r="C14" s="56" t="str">
        <f aca="false">'Task Assignment'!D13</f>
        <v>Art</v>
      </c>
      <c r="D14" s="56" t="str">
        <f aca="false">'Task Assignment'!E13</f>
        <v>NgocLA</v>
      </c>
      <c r="E14" s="57" t="str">
        <f aca="false">'Task Assignment'!H13</f>
        <v>18/03/2026</v>
      </c>
      <c r="F14" s="57" t="str">
        <f aca="false">'Task Assignment'!I13</f>
        <v>27/03/2026</v>
      </c>
      <c r="G14" s="58" t="str">
        <f aca="false">IF(AND(E14&lt;&gt;"",F14&lt;&gt;"",E14&lt;=46090,F14&gt;=46084),'Task Assignment'!J13,"")</f>
        <v/>
      </c>
      <c r="H14" s="58" t="str">
        <f aca="false">IF(AND(E14&lt;&gt;"",F14&lt;&gt;"",E14&lt;=46097,F14&gt;=46091),'Task Assignment'!J13,"")</f>
        <v/>
      </c>
      <c r="I14" s="58" t="str">
        <f aca="false">IF(AND(E14&lt;&gt;"",F14&lt;&gt;"",E14&lt;=46104,F14&gt;=46098),'Task Assignment'!J13,"")</f>
        <v/>
      </c>
      <c r="J14" s="58" t="str">
        <f aca="false">IF(AND(E14&lt;&gt;"",F14&lt;&gt;"",E14&lt;=46111,F14&gt;=46105),'Task Assignment'!J13,"")</f>
        <v/>
      </c>
      <c r="K14" s="58" t="str">
        <f aca="false">IF(AND(E14&lt;&gt;"",F14&lt;&gt;"",E14&lt;=46118,F14&gt;=46112),'Task Assignment'!J13,"")</f>
        <v/>
      </c>
      <c r="L14" s="58" t="str">
        <f aca="false">IF(AND(E14&lt;&gt;"",F14&lt;&gt;"",E14&lt;=46125,F14&gt;=46119),'Task Assignment'!J13,"")</f>
        <v/>
      </c>
      <c r="M14" s="58" t="str">
        <f aca="false">IF(AND(E14&lt;&gt;"",F14&lt;&gt;"",E14&lt;=46132,F14&gt;=46126),'Task Assignment'!J13,"")</f>
        <v/>
      </c>
      <c r="N14" s="58" t="str">
        <f aca="false">IF(AND(E14&lt;&gt;"",F14&lt;&gt;"",E14&lt;=46139,F14&gt;=46133),'Task Assignment'!J13,"")</f>
        <v/>
      </c>
    </row>
    <row r="15" customFormat="false" ht="15" hidden="false" customHeight="false" outlineLevel="0" collapsed="false">
      <c r="A15" s="49" t="str">
        <f aca="false">'Task Assignment'!A14</f>
        <v>T012</v>
      </c>
      <c r="B15" s="50" t="str">
        <f aca="false">'Task Assignment'!C14</f>
        <v>Chip &amp; Token Assets</v>
      </c>
      <c r="C15" s="51" t="str">
        <f aca="false">'Task Assignment'!D14</f>
        <v>Art</v>
      </c>
      <c r="D15" s="51" t="str">
        <f aca="false">'Task Assignment'!E14</f>
        <v>TuND4</v>
      </c>
      <c r="E15" s="52" t="str">
        <f aca="false">'Task Assignment'!H14</f>
        <v>26/03/2026</v>
      </c>
      <c r="F15" s="52" t="str">
        <f aca="false">'Task Assignment'!I14</f>
        <v>31/03/2026</v>
      </c>
      <c r="G15" s="53" t="str">
        <f aca="false">IF(AND(E15&lt;&gt;"",F15&lt;&gt;"",E15&lt;=46090,F15&gt;=46084),'Task Assignment'!J14,"")</f>
        <v/>
      </c>
      <c r="H15" s="53" t="str">
        <f aca="false">IF(AND(E15&lt;&gt;"",F15&lt;&gt;"",E15&lt;=46097,F15&gt;=46091),'Task Assignment'!J14,"")</f>
        <v/>
      </c>
      <c r="I15" s="53" t="str">
        <f aca="false">IF(AND(E15&lt;&gt;"",F15&lt;&gt;"",E15&lt;=46104,F15&gt;=46098),'Task Assignment'!J14,"")</f>
        <v/>
      </c>
      <c r="J15" s="53" t="str">
        <f aca="false">IF(AND(E15&lt;&gt;"",F15&lt;&gt;"",E15&lt;=46111,F15&gt;=46105),'Task Assignment'!J14,"")</f>
        <v/>
      </c>
      <c r="K15" s="53" t="str">
        <f aca="false">IF(AND(E15&lt;&gt;"",F15&lt;&gt;"",E15&lt;=46118,F15&gt;=46112),'Task Assignment'!J14,"")</f>
        <v/>
      </c>
      <c r="L15" s="53" t="str">
        <f aca="false">IF(AND(E15&lt;&gt;"",F15&lt;&gt;"",E15&lt;=46125,F15&gt;=46119),'Task Assignment'!J14,"")</f>
        <v/>
      </c>
      <c r="M15" s="53" t="str">
        <f aca="false">IF(AND(E15&lt;&gt;"",F15&lt;&gt;"",E15&lt;=46132,F15&gt;=46126),'Task Assignment'!J14,"")</f>
        <v/>
      </c>
      <c r="N15" s="53" t="str">
        <f aca="false">IF(AND(E15&lt;&gt;"",F15&lt;&gt;"",E15&lt;=46139,F15&gt;=46133),'Task Assignment'!J14,"")</f>
        <v/>
      </c>
    </row>
    <row r="16" customFormat="false" ht="15" hidden="false" customHeight="false" outlineLevel="0" collapsed="false">
      <c r="A16" s="54" t="str">
        <f aca="false">'Task Assignment'!A15</f>
        <v>T013</v>
      </c>
      <c r="B16" s="55" t="str">
        <f aca="false">'Task Assignment'!C15</f>
        <v>UI Design - Lobby &amp; Menu</v>
      </c>
      <c r="C16" s="56" t="str">
        <f aca="false">'Task Assignment'!D15</f>
        <v>Design</v>
      </c>
      <c r="D16" s="56" t="str">
        <f aca="false">'Task Assignment'!E15</f>
        <v>LocPT</v>
      </c>
      <c r="E16" s="57" t="str">
        <f aca="false">'Task Assignment'!H15</f>
        <v>18/03/2026</v>
      </c>
      <c r="F16" s="57" t="str">
        <f aca="false">'Task Assignment'!I15</f>
        <v>25/03/2026</v>
      </c>
      <c r="G16" s="58" t="str">
        <f aca="false">IF(AND(E16&lt;&gt;"",F16&lt;&gt;"",E16&lt;=46090,F16&gt;=46084),'Task Assignment'!J15,"")</f>
        <v/>
      </c>
      <c r="H16" s="58" t="str">
        <f aca="false">IF(AND(E16&lt;&gt;"",F16&lt;&gt;"",E16&lt;=46097,F16&gt;=46091),'Task Assignment'!J15,"")</f>
        <v/>
      </c>
      <c r="I16" s="58" t="str">
        <f aca="false">IF(AND(E16&lt;&gt;"",F16&lt;&gt;"",E16&lt;=46104,F16&gt;=46098),'Task Assignment'!J15,"")</f>
        <v/>
      </c>
      <c r="J16" s="58" t="str">
        <f aca="false">IF(AND(E16&lt;&gt;"",F16&lt;&gt;"",E16&lt;=46111,F16&gt;=46105),'Task Assignment'!J15,"")</f>
        <v/>
      </c>
      <c r="K16" s="58" t="str">
        <f aca="false">IF(AND(E16&lt;&gt;"",F16&lt;&gt;"",E16&lt;=46118,F16&gt;=46112),'Task Assignment'!J15,"")</f>
        <v/>
      </c>
      <c r="L16" s="58" t="str">
        <f aca="false">IF(AND(E16&lt;&gt;"",F16&lt;&gt;"",E16&lt;=46125,F16&gt;=46119),'Task Assignment'!J15,"")</f>
        <v/>
      </c>
      <c r="M16" s="58" t="str">
        <f aca="false">IF(AND(E16&lt;&gt;"",F16&lt;&gt;"",E16&lt;=46132,F16&gt;=46126),'Task Assignment'!J15,"")</f>
        <v/>
      </c>
      <c r="N16" s="58" t="str">
        <f aca="false">IF(AND(E16&lt;&gt;"",F16&lt;&gt;"",E16&lt;=46139,F16&gt;=46133),'Task Assignment'!J15,"")</f>
        <v/>
      </c>
    </row>
    <row r="17" customFormat="false" ht="15" hidden="false" customHeight="false" outlineLevel="0" collapsed="false">
      <c r="A17" s="49" t="str">
        <f aca="false">'Task Assignment'!A16</f>
        <v>T014</v>
      </c>
      <c r="B17" s="50" t="str">
        <f aca="false">'Task Assignment'!C16</f>
        <v>UI Design - Gameplay Screen</v>
      </c>
      <c r="C17" s="51" t="str">
        <f aca="false">'Task Assignment'!D16</f>
        <v>Design</v>
      </c>
      <c r="D17" s="51" t="str">
        <f aca="false">'Task Assignment'!E16</f>
        <v>QuynhNH</v>
      </c>
      <c r="E17" s="52" t="str">
        <f aca="false">'Task Assignment'!H16</f>
        <v>18/03/2026</v>
      </c>
      <c r="F17" s="52" t="str">
        <f aca="false">'Task Assignment'!I16</f>
        <v>25/03/2026</v>
      </c>
      <c r="G17" s="53" t="str">
        <f aca="false">IF(AND(E17&lt;&gt;"",F17&lt;&gt;"",E17&lt;=46090,F17&gt;=46084),'Task Assignment'!J16,"")</f>
        <v/>
      </c>
      <c r="H17" s="53" t="str">
        <f aca="false">IF(AND(E17&lt;&gt;"",F17&lt;&gt;"",E17&lt;=46097,F17&gt;=46091),'Task Assignment'!J16,"")</f>
        <v/>
      </c>
      <c r="I17" s="53" t="str">
        <f aca="false">IF(AND(E17&lt;&gt;"",F17&lt;&gt;"",E17&lt;=46104,F17&gt;=46098),'Task Assignment'!J16,"")</f>
        <v/>
      </c>
      <c r="J17" s="53" t="str">
        <f aca="false">IF(AND(E17&lt;&gt;"",F17&lt;&gt;"",E17&lt;=46111,F17&gt;=46105),'Task Assignment'!J16,"")</f>
        <v/>
      </c>
      <c r="K17" s="53" t="str">
        <f aca="false">IF(AND(E17&lt;&gt;"",F17&lt;&gt;"",E17&lt;=46118,F17&gt;=46112),'Task Assignment'!J16,"")</f>
        <v/>
      </c>
      <c r="L17" s="53" t="str">
        <f aca="false">IF(AND(E17&lt;&gt;"",F17&lt;&gt;"",E17&lt;=46125,F17&gt;=46119),'Task Assignment'!J16,"")</f>
        <v/>
      </c>
      <c r="M17" s="53" t="str">
        <f aca="false">IF(AND(E17&lt;&gt;"",F17&lt;&gt;"",E17&lt;=46132,F17&gt;=46126),'Task Assignment'!J16,"")</f>
        <v/>
      </c>
      <c r="N17" s="53" t="str">
        <f aca="false">IF(AND(E17&lt;&gt;"",F17&lt;&gt;"",E17&lt;=46139,F17&gt;=46133),'Task Assignment'!J16,"")</f>
        <v/>
      </c>
    </row>
    <row r="18" customFormat="false" ht="15" hidden="false" customHeight="false" outlineLevel="0" collapsed="false">
      <c r="A18" s="54" t="str">
        <f aca="false">'Task Assignment'!A17</f>
        <v>T015</v>
      </c>
      <c r="B18" s="55" t="str">
        <f aca="false">'Task Assignment'!C17</f>
        <v>UI Design - Shop &amp; Profile</v>
      </c>
      <c r="C18" s="56" t="str">
        <f aca="false">'Task Assignment'!D17</f>
        <v>Design</v>
      </c>
      <c r="D18" s="56" t="str">
        <f aca="false">'Task Assignment'!E17</f>
        <v>BinhNT</v>
      </c>
      <c r="E18" s="57" t="str">
        <f aca="false">'Task Assignment'!H17</f>
        <v>23/03/2026</v>
      </c>
      <c r="F18" s="57" t="str">
        <f aca="false">'Task Assignment'!I17</f>
        <v>30/03/2026</v>
      </c>
      <c r="G18" s="58" t="str">
        <f aca="false">IF(AND(E18&lt;&gt;"",F18&lt;&gt;"",E18&lt;=46090,F18&gt;=46084),'Task Assignment'!J17,"")</f>
        <v/>
      </c>
      <c r="H18" s="58" t="str">
        <f aca="false">IF(AND(E18&lt;&gt;"",F18&lt;&gt;"",E18&lt;=46097,F18&gt;=46091),'Task Assignment'!J17,"")</f>
        <v/>
      </c>
      <c r="I18" s="58" t="str">
        <f aca="false">IF(AND(E18&lt;&gt;"",F18&lt;&gt;"",E18&lt;=46104,F18&gt;=46098),'Task Assignment'!J17,"")</f>
        <v/>
      </c>
      <c r="J18" s="58" t="str">
        <f aca="false">IF(AND(E18&lt;&gt;"",F18&lt;&gt;"",E18&lt;=46111,F18&gt;=46105),'Task Assignment'!J17,"")</f>
        <v/>
      </c>
      <c r="K18" s="58" t="str">
        <f aca="false">IF(AND(E18&lt;&gt;"",F18&lt;&gt;"",E18&lt;=46118,F18&gt;=46112),'Task Assignment'!J17,"")</f>
        <v/>
      </c>
      <c r="L18" s="58" t="str">
        <f aca="false">IF(AND(E18&lt;&gt;"",F18&lt;&gt;"",E18&lt;=46125,F18&gt;=46119),'Task Assignment'!J17,"")</f>
        <v/>
      </c>
      <c r="M18" s="58" t="str">
        <f aca="false">IF(AND(E18&lt;&gt;"",F18&lt;&gt;"",E18&lt;=46132,F18&gt;=46126),'Task Assignment'!J17,"")</f>
        <v/>
      </c>
      <c r="N18" s="58" t="str">
        <f aca="false">IF(AND(E18&lt;&gt;"",F18&lt;&gt;"",E18&lt;=46139,F18&gt;=46133),'Task Assignment'!J17,"")</f>
        <v/>
      </c>
    </row>
    <row r="19" customFormat="false" ht="15" hidden="false" customHeight="false" outlineLevel="0" collapsed="false">
      <c r="A19" s="49" t="str">
        <f aca="false">'Task Assignment'!A18</f>
        <v>T016</v>
      </c>
      <c r="B19" s="50" t="str">
        <f aca="false">'Task Assignment'!C18</f>
        <v>UI Animation Specs</v>
      </c>
      <c r="C19" s="51" t="str">
        <f aca="false">'Task Assignment'!D18</f>
        <v>Design</v>
      </c>
      <c r="D19" s="51" t="str">
        <f aca="false">'Task Assignment'!E18</f>
        <v>LocPT</v>
      </c>
      <c r="E19" s="52" t="str">
        <f aca="false">'Task Assignment'!H18</f>
        <v>26/03/2026</v>
      </c>
      <c r="F19" s="52" t="str">
        <f aca="false">'Task Assignment'!I18</f>
        <v>31/03/2026</v>
      </c>
      <c r="G19" s="53" t="str">
        <f aca="false">IF(AND(E19&lt;&gt;"",F19&lt;&gt;"",E19&lt;=46090,F19&gt;=46084),'Task Assignment'!J18,"")</f>
        <v/>
      </c>
      <c r="H19" s="53" t="str">
        <f aca="false">IF(AND(E19&lt;&gt;"",F19&lt;&gt;"",E19&lt;=46097,F19&gt;=46091),'Task Assignment'!J18,"")</f>
        <v/>
      </c>
      <c r="I19" s="53" t="str">
        <f aca="false">IF(AND(E19&lt;&gt;"",F19&lt;&gt;"",E19&lt;=46104,F19&gt;=46098),'Task Assignment'!J18,"")</f>
        <v/>
      </c>
      <c r="J19" s="53" t="str">
        <f aca="false">IF(AND(E19&lt;&gt;"",F19&lt;&gt;"",E19&lt;=46111,F19&gt;=46105),'Task Assignment'!J18,"")</f>
        <v/>
      </c>
      <c r="K19" s="53" t="str">
        <f aca="false">IF(AND(E19&lt;&gt;"",F19&lt;&gt;"",E19&lt;=46118,F19&gt;=46112),'Task Assignment'!J18,"")</f>
        <v/>
      </c>
      <c r="L19" s="53" t="str">
        <f aca="false">IF(AND(E19&lt;&gt;"",F19&lt;&gt;"",E19&lt;=46125,F19&gt;=46119),'Task Assignment'!J18,"")</f>
        <v/>
      </c>
      <c r="M19" s="53" t="str">
        <f aca="false">IF(AND(E19&lt;&gt;"",F19&lt;&gt;"",E19&lt;=46132,F19&gt;=46126),'Task Assignment'!J18,"")</f>
        <v/>
      </c>
      <c r="N19" s="53" t="str">
        <f aca="false">IF(AND(E19&lt;&gt;"",F19&lt;&gt;"",E19&lt;=46139,F19&gt;=46133),'Task Assignment'!J18,"")</f>
        <v/>
      </c>
    </row>
    <row r="20" customFormat="false" ht="15" hidden="false" customHeight="false" outlineLevel="0" collapsed="false">
      <c r="A20" s="54" t="str">
        <f aca="false">'Task Assignment'!A19</f>
        <v>T017</v>
      </c>
      <c r="B20" s="55" t="str">
        <f aca="false">'Task Assignment'!C19</f>
        <v>Core Engine - Card Logic</v>
      </c>
      <c r="C20" s="56" t="str">
        <f aca="false">'Task Assignment'!D19</f>
        <v>Dev</v>
      </c>
      <c r="D20" s="56" t="str">
        <f aca="false">'Task Assignment'!E19</f>
        <v>CongNN</v>
      </c>
      <c r="E20" s="57" t="str">
        <f aca="false">'Task Assignment'!H19</f>
        <v>18/03/2026</v>
      </c>
      <c r="F20" s="57" t="str">
        <f aca="false">'Task Assignment'!I19</f>
        <v>27/03/2026</v>
      </c>
      <c r="G20" s="58" t="str">
        <f aca="false">IF(AND(E20&lt;&gt;"",F20&lt;&gt;"",E20&lt;=46090,F20&gt;=46084),'Task Assignment'!J19,"")</f>
        <v/>
      </c>
      <c r="H20" s="58" t="str">
        <f aca="false">IF(AND(E20&lt;&gt;"",F20&lt;&gt;"",E20&lt;=46097,F20&gt;=46091),'Task Assignment'!J19,"")</f>
        <v/>
      </c>
      <c r="I20" s="58" t="str">
        <f aca="false">IF(AND(E20&lt;&gt;"",F20&lt;&gt;"",E20&lt;=46104,F20&gt;=46098),'Task Assignment'!J19,"")</f>
        <v/>
      </c>
      <c r="J20" s="58" t="str">
        <f aca="false">IF(AND(E20&lt;&gt;"",F20&lt;&gt;"",E20&lt;=46111,F20&gt;=46105),'Task Assignment'!J19,"")</f>
        <v/>
      </c>
      <c r="K20" s="58" t="str">
        <f aca="false">IF(AND(E20&lt;&gt;"",F20&lt;&gt;"",E20&lt;=46118,F20&gt;=46112),'Task Assignment'!J19,"")</f>
        <v/>
      </c>
      <c r="L20" s="58" t="str">
        <f aca="false">IF(AND(E20&lt;&gt;"",F20&lt;&gt;"",E20&lt;=46125,F20&gt;=46119),'Task Assignment'!J19,"")</f>
        <v/>
      </c>
      <c r="M20" s="58" t="str">
        <f aca="false">IF(AND(E20&lt;&gt;"",F20&lt;&gt;"",E20&lt;=46132,F20&gt;=46126),'Task Assignment'!J19,"")</f>
        <v/>
      </c>
      <c r="N20" s="58" t="str">
        <f aca="false">IF(AND(E20&lt;&gt;"",F20&lt;&gt;"",E20&lt;=46139,F20&gt;=46133),'Task Assignment'!J19,"")</f>
        <v/>
      </c>
    </row>
    <row r="21" customFormat="false" ht="15" hidden="false" customHeight="false" outlineLevel="0" collapsed="false">
      <c r="A21" s="49" t="str">
        <f aca="false">'Task Assignment'!A20</f>
        <v>T018</v>
      </c>
      <c r="B21" s="50" t="str">
        <f aca="false">'Task Assignment'!C20</f>
        <v>Betting System</v>
      </c>
      <c r="C21" s="51" t="str">
        <f aca="false">'Task Assignment'!D20</f>
        <v>Dev</v>
      </c>
      <c r="D21" s="51" t="str">
        <f aca="false">'Task Assignment'!E20</f>
        <v>HuongBP</v>
      </c>
      <c r="E21" s="52" t="str">
        <f aca="false">'Task Assignment'!H20</f>
        <v>18/03/2026</v>
      </c>
      <c r="F21" s="52" t="str">
        <f aca="false">'Task Assignment'!I20</f>
        <v>27/03/2026</v>
      </c>
      <c r="G21" s="53" t="str">
        <f aca="false">IF(AND(E21&lt;&gt;"",F21&lt;&gt;"",E21&lt;=46090,F21&gt;=46084),'Task Assignment'!J20,"")</f>
        <v/>
      </c>
      <c r="H21" s="53" t="str">
        <f aca="false">IF(AND(E21&lt;&gt;"",F21&lt;&gt;"",E21&lt;=46097,F21&gt;=46091),'Task Assignment'!J20,"")</f>
        <v/>
      </c>
      <c r="I21" s="53" t="str">
        <f aca="false">IF(AND(E21&lt;&gt;"",F21&lt;&gt;"",E21&lt;=46104,F21&gt;=46098),'Task Assignment'!J20,"")</f>
        <v/>
      </c>
      <c r="J21" s="53" t="str">
        <f aca="false">IF(AND(E21&lt;&gt;"",F21&lt;&gt;"",E21&lt;=46111,F21&gt;=46105),'Task Assignment'!J20,"")</f>
        <v/>
      </c>
      <c r="K21" s="53" t="str">
        <f aca="false">IF(AND(E21&lt;&gt;"",F21&lt;&gt;"",E21&lt;=46118,F21&gt;=46112),'Task Assignment'!J20,"")</f>
        <v/>
      </c>
      <c r="L21" s="53" t="str">
        <f aca="false">IF(AND(E21&lt;&gt;"",F21&lt;&gt;"",E21&lt;=46125,F21&gt;=46119),'Task Assignment'!J20,"")</f>
        <v/>
      </c>
      <c r="M21" s="53" t="str">
        <f aca="false">IF(AND(E21&lt;&gt;"",F21&lt;&gt;"",E21&lt;=46132,F21&gt;=46126),'Task Assignment'!J20,"")</f>
        <v/>
      </c>
      <c r="N21" s="53" t="str">
        <f aca="false">IF(AND(E21&lt;&gt;"",F21&lt;&gt;"",E21&lt;=46139,F21&gt;=46133),'Task Assignment'!J20,"")</f>
        <v/>
      </c>
    </row>
    <row r="22" customFormat="false" ht="15" hidden="false" customHeight="false" outlineLevel="0" collapsed="false">
      <c r="A22" s="54" t="str">
        <f aca="false">'Task Assignment'!A21</f>
        <v>T019</v>
      </c>
      <c r="B22" s="55" t="str">
        <f aca="false">'Task Assignment'!C21</f>
        <v>Multiplayer/Networking</v>
      </c>
      <c r="C22" s="56" t="str">
        <f aca="false">'Task Assignment'!D21</f>
        <v>Dev</v>
      </c>
      <c r="D22" s="56" t="str">
        <f aca="false">'Task Assignment'!E21</f>
        <v>DienDQ</v>
      </c>
      <c r="E22" s="57" t="str">
        <f aca="false">'Task Assignment'!H21</f>
        <v>20/03/2026</v>
      </c>
      <c r="F22" s="57" t="str">
        <f aca="false">'Task Assignment'!I21</f>
        <v>03/04/2026</v>
      </c>
      <c r="G22" s="58" t="str">
        <f aca="false">IF(AND(E22&lt;&gt;"",F22&lt;&gt;"",E22&lt;=46090,F22&gt;=46084),'Task Assignment'!J21,"")</f>
        <v/>
      </c>
      <c r="H22" s="58" t="str">
        <f aca="false">IF(AND(E22&lt;&gt;"",F22&lt;&gt;"",E22&lt;=46097,F22&gt;=46091),'Task Assignment'!J21,"")</f>
        <v/>
      </c>
      <c r="I22" s="58" t="str">
        <f aca="false">IF(AND(E22&lt;&gt;"",F22&lt;&gt;"",E22&lt;=46104,F22&gt;=46098),'Task Assignment'!J21,"")</f>
        <v/>
      </c>
      <c r="J22" s="58" t="str">
        <f aca="false">IF(AND(E22&lt;&gt;"",F22&lt;&gt;"",E22&lt;=46111,F22&gt;=46105),'Task Assignment'!J21,"")</f>
        <v/>
      </c>
      <c r="K22" s="58" t="str">
        <f aca="false">IF(AND(E22&lt;&gt;"",F22&lt;&gt;"",E22&lt;=46118,F22&gt;=46112),'Task Assignment'!J21,"")</f>
        <v/>
      </c>
      <c r="L22" s="58" t="str">
        <f aca="false">IF(AND(E22&lt;&gt;"",F22&lt;&gt;"",E22&lt;=46125,F22&gt;=46119),'Task Assignment'!J21,"")</f>
        <v/>
      </c>
      <c r="M22" s="58" t="str">
        <f aca="false">IF(AND(E22&lt;&gt;"",F22&lt;&gt;"",E22&lt;=46132,F22&gt;=46126),'Task Assignment'!J21,"")</f>
        <v/>
      </c>
      <c r="N22" s="58" t="str">
        <f aca="false">IF(AND(E22&lt;&gt;"",F22&lt;&gt;"",E22&lt;=46139,F22&gt;=46133),'Task Assignment'!J21,"")</f>
        <v/>
      </c>
    </row>
    <row r="23" customFormat="false" ht="15" hidden="false" customHeight="false" outlineLevel="0" collapsed="false">
      <c r="A23" s="49" t="str">
        <f aca="false">'Task Assignment'!A22</f>
        <v>T020</v>
      </c>
      <c r="B23" s="50" t="str">
        <f aca="false">'Task Assignment'!C22</f>
        <v>UI Implementation - Lobby</v>
      </c>
      <c r="C23" s="51" t="str">
        <f aca="false">'Task Assignment'!D22</f>
        <v>Dev</v>
      </c>
      <c r="D23" s="51" t="str">
        <f aca="false">'Task Assignment'!E22</f>
        <v>CongNT7</v>
      </c>
      <c r="E23" s="52" t="str">
        <f aca="false">'Task Assignment'!H22</f>
        <v>26/03/2026</v>
      </c>
      <c r="F23" s="52" t="str">
        <f aca="false">'Task Assignment'!I22</f>
        <v>03/04/2026</v>
      </c>
      <c r="G23" s="53" t="str">
        <f aca="false">IF(AND(E23&lt;&gt;"",F23&lt;&gt;"",E23&lt;=46090,F23&gt;=46084),'Task Assignment'!J22,"")</f>
        <v/>
      </c>
      <c r="H23" s="53" t="str">
        <f aca="false">IF(AND(E23&lt;&gt;"",F23&lt;&gt;"",E23&lt;=46097,F23&gt;=46091),'Task Assignment'!J22,"")</f>
        <v/>
      </c>
      <c r="I23" s="53" t="str">
        <f aca="false">IF(AND(E23&lt;&gt;"",F23&lt;&gt;"",E23&lt;=46104,F23&gt;=46098),'Task Assignment'!J22,"")</f>
        <v/>
      </c>
      <c r="J23" s="53" t="str">
        <f aca="false">IF(AND(E23&lt;&gt;"",F23&lt;&gt;"",E23&lt;=46111,F23&gt;=46105),'Task Assignment'!J22,"")</f>
        <v/>
      </c>
      <c r="K23" s="53" t="str">
        <f aca="false">IF(AND(E23&lt;&gt;"",F23&lt;&gt;"",E23&lt;=46118,F23&gt;=46112),'Task Assignment'!J22,"")</f>
        <v/>
      </c>
      <c r="L23" s="53" t="str">
        <f aca="false">IF(AND(E23&lt;&gt;"",F23&lt;&gt;"",E23&lt;=46125,F23&gt;=46119),'Task Assignment'!J22,"")</f>
        <v/>
      </c>
      <c r="M23" s="53" t="str">
        <f aca="false">IF(AND(E23&lt;&gt;"",F23&lt;&gt;"",E23&lt;=46132,F23&gt;=46126),'Task Assignment'!J22,"")</f>
        <v/>
      </c>
      <c r="N23" s="53" t="str">
        <f aca="false">IF(AND(E23&lt;&gt;"",F23&lt;&gt;"",E23&lt;=46139,F23&gt;=46133),'Task Assignment'!J22,"")</f>
        <v/>
      </c>
    </row>
    <row r="24" customFormat="false" ht="15" hidden="false" customHeight="false" outlineLevel="0" collapsed="false">
      <c r="A24" s="54" t="str">
        <f aca="false">'Task Assignment'!A23</f>
        <v>T021</v>
      </c>
      <c r="B24" s="55" t="str">
        <f aca="false">'Task Assignment'!C23</f>
        <v>UI Implementation - Gameplay</v>
      </c>
      <c r="C24" s="56" t="str">
        <f aca="false">'Task Assignment'!D23</f>
        <v>Dev</v>
      </c>
      <c r="D24" s="56" t="str">
        <f aca="false">'Task Assignment'!E23</f>
        <v>PhucNN</v>
      </c>
      <c r="E24" s="57" t="str">
        <f aca="false">'Task Assignment'!H23</f>
        <v>26/03/2026</v>
      </c>
      <c r="F24" s="57" t="str">
        <f aca="false">'Task Assignment'!I23</f>
        <v>03/04/2026</v>
      </c>
      <c r="G24" s="58" t="str">
        <f aca="false">IF(AND(E24&lt;&gt;"",F24&lt;&gt;"",E24&lt;=46090,F24&gt;=46084),'Task Assignment'!J23,"")</f>
        <v/>
      </c>
      <c r="H24" s="58" t="str">
        <f aca="false">IF(AND(E24&lt;&gt;"",F24&lt;&gt;"",E24&lt;=46097,F24&gt;=46091),'Task Assignment'!J23,"")</f>
        <v/>
      </c>
      <c r="I24" s="58" t="str">
        <f aca="false">IF(AND(E24&lt;&gt;"",F24&lt;&gt;"",E24&lt;=46104,F24&gt;=46098),'Task Assignment'!J23,"")</f>
        <v/>
      </c>
      <c r="J24" s="58" t="str">
        <f aca="false">IF(AND(E24&lt;&gt;"",F24&lt;&gt;"",E24&lt;=46111,F24&gt;=46105),'Task Assignment'!J23,"")</f>
        <v/>
      </c>
      <c r="K24" s="58" t="str">
        <f aca="false">IF(AND(E24&lt;&gt;"",F24&lt;&gt;"",E24&lt;=46118,F24&gt;=46112),'Task Assignment'!J23,"")</f>
        <v/>
      </c>
      <c r="L24" s="58" t="str">
        <f aca="false">IF(AND(E24&lt;&gt;"",F24&lt;&gt;"",E24&lt;=46125,F24&gt;=46119),'Task Assignment'!J23,"")</f>
        <v/>
      </c>
      <c r="M24" s="58" t="str">
        <f aca="false">IF(AND(E24&lt;&gt;"",F24&lt;&gt;"",E24&lt;=46132,F24&gt;=46126),'Task Assignment'!J23,"")</f>
        <v/>
      </c>
      <c r="N24" s="58" t="str">
        <f aca="false">IF(AND(E24&lt;&gt;"",F24&lt;&gt;"",E24&lt;=46139,F24&gt;=46133),'Task Assignment'!J23,"")</f>
        <v/>
      </c>
    </row>
    <row r="25" customFormat="false" ht="15" hidden="false" customHeight="false" outlineLevel="0" collapsed="false">
      <c r="A25" s="49" t="str">
        <f aca="false">'Task Assignment'!A24</f>
        <v>T022</v>
      </c>
      <c r="B25" s="50" t="str">
        <f aca="false">'Task Assignment'!C24</f>
        <v>Backend API &amp; Database</v>
      </c>
      <c r="C25" s="51" t="str">
        <f aca="false">'Task Assignment'!D24</f>
        <v>Dev</v>
      </c>
      <c r="D25" s="51" t="str">
        <f aca="false">'Task Assignment'!E24</f>
        <v>SonBNT</v>
      </c>
      <c r="E25" s="52" t="str">
        <f aca="false">'Task Assignment'!H24</f>
        <v>18/03/2026</v>
      </c>
      <c r="F25" s="52" t="str">
        <f aca="false">'Task Assignment'!I24</f>
        <v>31/03/2026</v>
      </c>
      <c r="G25" s="53" t="str">
        <f aca="false">IF(AND(E25&lt;&gt;"",F25&lt;&gt;"",E25&lt;=46090,F25&gt;=46084),'Task Assignment'!J24,"")</f>
        <v/>
      </c>
      <c r="H25" s="53" t="str">
        <f aca="false">IF(AND(E25&lt;&gt;"",F25&lt;&gt;"",E25&lt;=46097,F25&gt;=46091),'Task Assignment'!J24,"")</f>
        <v/>
      </c>
      <c r="I25" s="53" t="str">
        <f aca="false">IF(AND(E25&lt;&gt;"",F25&lt;&gt;"",E25&lt;=46104,F25&gt;=46098),'Task Assignment'!J24,"")</f>
        <v/>
      </c>
      <c r="J25" s="53" t="str">
        <f aca="false">IF(AND(E25&lt;&gt;"",F25&lt;&gt;"",E25&lt;=46111,F25&gt;=46105),'Task Assignment'!J24,"")</f>
        <v/>
      </c>
      <c r="K25" s="53" t="str">
        <f aca="false">IF(AND(E25&lt;&gt;"",F25&lt;&gt;"",E25&lt;=46118,F25&gt;=46112),'Task Assignment'!J24,"")</f>
        <v/>
      </c>
      <c r="L25" s="53" t="str">
        <f aca="false">IF(AND(E25&lt;&gt;"",F25&lt;&gt;"",E25&lt;=46125,F25&gt;=46119),'Task Assignment'!J24,"")</f>
        <v/>
      </c>
      <c r="M25" s="53" t="str">
        <f aca="false">IF(AND(E25&lt;&gt;"",F25&lt;&gt;"",E25&lt;=46132,F25&gt;=46126),'Task Assignment'!J24,"")</f>
        <v/>
      </c>
      <c r="N25" s="53" t="str">
        <f aca="false">IF(AND(E25&lt;&gt;"",F25&lt;&gt;"",E25&lt;=46139,F25&gt;=46133),'Task Assignment'!J24,"")</f>
        <v/>
      </c>
    </row>
    <row r="26" customFormat="false" ht="15" hidden="false" customHeight="false" outlineLevel="0" collapsed="false">
      <c r="A26" s="54" t="str">
        <f aca="false">'Task Assignment'!A25</f>
        <v>T023</v>
      </c>
      <c r="B26" s="55" t="str">
        <f aca="false">'Task Assignment'!C25</f>
        <v>AI Bot Logic</v>
      </c>
      <c r="C26" s="56" t="str">
        <f aca="false">'Task Assignment'!D25</f>
        <v>Dev</v>
      </c>
      <c r="D26" s="56" t="str">
        <f aca="false">'Task Assignment'!E25</f>
        <v>CongNN</v>
      </c>
      <c r="E26" s="57" t="str">
        <f aca="false">'Task Assignment'!H25</f>
        <v>28/03/2026</v>
      </c>
      <c r="F26" s="57" t="str">
        <f aca="false">'Task Assignment'!I25</f>
        <v>07/04/2026</v>
      </c>
      <c r="G26" s="58" t="str">
        <f aca="false">IF(AND(E26&lt;&gt;"",F26&lt;&gt;"",E26&lt;=46090,F26&gt;=46084),'Task Assignment'!J25,"")</f>
        <v/>
      </c>
      <c r="H26" s="58" t="str">
        <f aca="false">IF(AND(E26&lt;&gt;"",F26&lt;&gt;"",E26&lt;=46097,F26&gt;=46091),'Task Assignment'!J25,"")</f>
        <v/>
      </c>
      <c r="I26" s="58" t="str">
        <f aca="false">IF(AND(E26&lt;&gt;"",F26&lt;&gt;"",E26&lt;=46104,F26&gt;=46098),'Task Assignment'!J25,"")</f>
        <v/>
      </c>
      <c r="J26" s="58" t="str">
        <f aca="false">IF(AND(E26&lt;&gt;"",F26&lt;&gt;"",E26&lt;=46111,F26&gt;=46105),'Task Assignment'!J25,"")</f>
        <v/>
      </c>
      <c r="K26" s="58" t="str">
        <f aca="false">IF(AND(E26&lt;&gt;"",F26&lt;&gt;"",E26&lt;=46118,F26&gt;=46112),'Task Assignment'!J25,"")</f>
        <v/>
      </c>
      <c r="L26" s="58" t="str">
        <f aca="false">IF(AND(E26&lt;&gt;"",F26&lt;&gt;"",E26&lt;=46125,F26&gt;=46119),'Task Assignment'!J25,"")</f>
        <v/>
      </c>
      <c r="M26" s="58" t="str">
        <f aca="false">IF(AND(E26&lt;&gt;"",F26&lt;&gt;"",E26&lt;=46132,F26&gt;=46126),'Task Assignment'!J25,"")</f>
        <v/>
      </c>
      <c r="N26" s="58" t="str">
        <f aca="false">IF(AND(E26&lt;&gt;"",F26&lt;&gt;"",E26&lt;=46139,F26&gt;=46133),'Task Assignment'!J25,"")</f>
        <v/>
      </c>
    </row>
    <row r="27" customFormat="false" ht="15" hidden="false" customHeight="false" outlineLevel="0" collapsed="false">
      <c r="A27" s="49" t="str">
        <f aca="false">'Task Assignment'!A26</f>
        <v>T024</v>
      </c>
      <c r="B27" s="50" t="str">
        <f aca="false">'Task Assignment'!C26</f>
        <v>Shop &amp; In-app Purchase</v>
      </c>
      <c r="C27" s="51" t="str">
        <f aca="false">'Task Assignment'!D26</f>
        <v>Dev</v>
      </c>
      <c r="D27" s="51" t="str">
        <f aca="false">'Task Assignment'!E26</f>
        <v>HuongBP</v>
      </c>
      <c r="E27" s="52" t="str">
        <f aca="false">'Task Assignment'!H26</f>
        <v>28/03/2026</v>
      </c>
      <c r="F27" s="52" t="str">
        <f aca="false">'Task Assignment'!I26</f>
        <v>07/04/2026</v>
      </c>
      <c r="G27" s="53" t="str">
        <f aca="false">IF(AND(E27&lt;&gt;"",F27&lt;&gt;"",E27&lt;=46090,F27&gt;=46084),'Task Assignment'!J26,"")</f>
        <v/>
      </c>
      <c r="H27" s="53" t="str">
        <f aca="false">IF(AND(E27&lt;&gt;"",F27&lt;&gt;"",E27&lt;=46097,F27&gt;=46091),'Task Assignment'!J26,"")</f>
        <v/>
      </c>
      <c r="I27" s="53" t="str">
        <f aca="false">IF(AND(E27&lt;&gt;"",F27&lt;&gt;"",E27&lt;=46104,F27&gt;=46098),'Task Assignment'!J26,"")</f>
        <v/>
      </c>
      <c r="J27" s="53" t="str">
        <f aca="false">IF(AND(E27&lt;&gt;"",F27&lt;&gt;"",E27&lt;=46111,F27&gt;=46105),'Task Assignment'!J26,"")</f>
        <v/>
      </c>
      <c r="K27" s="53" t="str">
        <f aca="false">IF(AND(E27&lt;&gt;"",F27&lt;&gt;"",E27&lt;=46118,F27&gt;=46112),'Task Assignment'!J26,"")</f>
        <v/>
      </c>
      <c r="L27" s="53" t="str">
        <f aca="false">IF(AND(E27&lt;&gt;"",F27&lt;&gt;"",E27&lt;=46125,F27&gt;=46119),'Task Assignment'!J26,"")</f>
        <v/>
      </c>
      <c r="M27" s="53" t="str">
        <f aca="false">IF(AND(E27&lt;&gt;"",F27&lt;&gt;"",E27&lt;=46132,F27&gt;=46126),'Task Assignment'!J26,"")</f>
        <v/>
      </c>
      <c r="N27" s="53" t="str">
        <f aca="false">IF(AND(E27&lt;&gt;"",F27&lt;&gt;"",E27&lt;=46139,F27&gt;=46133),'Task Assignment'!J26,"")</f>
        <v/>
      </c>
    </row>
    <row r="28" customFormat="false" ht="15" hidden="false" customHeight="false" outlineLevel="0" collapsed="false">
      <c r="A28" s="54" t="str">
        <f aca="false">'Task Assignment'!A27</f>
        <v>T025</v>
      </c>
      <c r="B28" s="55" t="str">
        <f aca="false">'Task Assignment'!C27</f>
        <v>Sound Effects (SFX)</v>
      </c>
      <c r="C28" s="56" t="str">
        <f aca="false">'Task Assignment'!D27</f>
        <v>Multimedia</v>
      </c>
      <c r="D28" s="56" t="str">
        <f aca="false">'Task Assignment'!E27</f>
        <v>HungVM2</v>
      </c>
      <c r="E28" s="57" t="str">
        <f aca="false">'Task Assignment'!H27</f>
        <v>18/03/2026</v>
      </c>
      <c r="F28" s="57" t="str">
        <f aca="false">'Task Assignment'!I27</f>
        <v>31/03/2026</v>
      </c>
      <c r="G28" s="58" t="str">
        <f aca="false">IF(AND(E28&lt;&gt;"",F28&lt;&gt;"",E28&lt;=46090,F28&gt;=46084),'Task Assignment'!J27,"")</f>
        <v/>
      </c>
      <c r="H28" s="58" t="str">
        <f aca="false">IF(AND(E28&lt;&gt;"",F28&lt;&gt;"",E28&lt;=46097,F28&gt;=46091),'Task Assignment'!J27,"")</f>
        <v/>
      </c>
      <c r="I28" s="58" t="str">
        <f aca="false">IF(AND(E28&lt;&gt;"",F28&lt;&gt;"",E28&lt;=46104,F28&gt;=46098),'Task Assignment'!J27,"")</f>
        <v/>
      </c>
      <c r="J28" s="58" t="str">
        <f aca="false">IF(AND(E28&lt;&gt;"",F28&lt;&gt;"",E28&lt;=46111,F28&gt;=46105),'Task Assignment'!J27,"")</f>
        <v/>
      </c>
      <c r="K28" s="58" t="str">
        <f aca="false">IF(AND(E28&lt;&gt;"",F28&lt;&gt;"",E28&lt;=46118,F28&gt;=46112),'Task Assignment'!J27,"")</f>
        <v/>
      </c>
      <c r="L28" s="58" t="str">
        <f aca="false">IF(AND(E28&lt;&gt;"",F28&lt;&gt;"",E28&lt;=46125,F28&gt;=46119),'Task Assignment'!J27,"")</f>
        <v/>
      </c>
      <c r="M28" s="58" t="str">
        <f aca="false">IF(AND(E28&lt;&gt;"",F28&lt;&gt;"",E28&lt;=46132,F28&gt;=46126),'Task Assignment'!J27,"")</f>
        <v/>
      </c>
      <c r="N28" s="58" t="str">
        <f aca="false">IF(AND(E28&lt;&gt;"",F28&lt;&gt;"",E28&lt;=46139,F28&gt;=46133),'Task Assignment'!J27,"")</f>
        <v/>
      </c>
    </row>
    <row r="29" customFormat="false" ht="15" hidden="false" customHeight="false" outlineLevel="0" collapsed="false">
      <c r="A29" s="49" t="str">
        <f aca="false">'Task Assignment'!A28</f>
        <v>T026</v>
      </c>
      <c r="B29" s="50" t="str">
        <f aca="false">'Task Assignment'!C28</f>
        <v>Background Music</v>
      </c>
      <c r="C29" s="51" t="str">
        <f aca="false">'Task Assignment'!D28</f>
        <v>Multimedia</v>
      </c>
      <c r="D29" s="51" t="str">
        <f aca="false">'Task Assignment'!E28</f>
        <v>HungVM2</v>
      </c>
      <c r="E29" s="52" t="str">
        <f aca="false">'Task Assignment'!H28</f>
        <v>01/04/2026</v>
      </c>
      <c r="F29" s="52" t="str">
        <f aca="false">'Task Assignment'!I28</f>
        <v>07/04/2026</v>
      </c>
      <c r="G29" s="53" t="str">
        <f aca="false">IF(AND(E29&lt;&gt;"",F29&lt;&gt;"",E29&lt;=46090,F29&gt;=46084),'Task Assignment'!J28,"")</f>
        <v/>
      </c>
      <c r="H29" s="53" t="str">
        <f aca="false">IF(AND(E29&lt;&gt;"",F29&lt;&gt;"",E29&lt;=46097,F29&gt;=46091),'Task Assignment'!J28,"")</f>
        <v/>
      </c>
      <c r="I29" s="53" t="str">
        <f aca="false">IF(AND(E29&lt;&gt;"",F29&lt;&gt;"",E29&lt;=46104,F29&gt;=46098),'Task Assignment'!J28,"")</f>
        <v/>
      </c>
      <c r="J29" s="53" t="str">
        <f aca="false">IF(AND(E29&lt;&gt;"",F29&lt;&gt;"",E29&lt;=46111,F29&gt;=46105),'Task Assignment'!J28,"")</f>
        <v/>
      </c>
      <c r="K29" s="53" t="str">
        <f aca="false">IF(AND(E29&lt;&gt;"",F29&lt;&gt;"",E29&lt;=46118,F29&gt;=46112),'Task Assignment'!J28,"")</f>
        <v/>
      </c>
      <c r="L29" s="53" t="str">
        <f aca="false">IF(AND(E29&lt;&gt;"",F29&lt;&gt;"",E29&lt;=46125,F29&gt;=46119),'Task Assignment'!J28,"")</f>
        <v/>
      </c>
      <c r="M29" s="53" t="str">
        <f aca="false">IF(AND(E29&lt;&gt;"",F29&lt;&gt;"",E29&lt;=46132,F29&gt;=46126),'Task Assignment'!J28,"")</f>
        <v/>
      </c>
      <c r="N29" s="53" t="str">
        <f aca="false">IF(AND(E29&lt;&gt;"",F29&lt;&gt;"",E29&lt;=46139,F29&gt;=46133),'Task Assignment'!J28,"")</f>
        <v/>
      </c>
    </row>
    <row r="30" customFormat="false" ht="15" hidden="false" customHeight="false" outlineLevel="0" collapsed="false">
      <c r="A30" s="54" t="str">
        <f aca="false">'Task Assignment'!A29</f>
        <v>T027</v>
      </c>
      <c r="B30" s="55" t="str">
        <f aca="false">'Task Assignment'!C29</f>
        <v>Card Animation &amp; VFX</v>
      </c>
      <c r="C30" s="56" t="str">
        <f aca="false">'Task Assignment'!D29</f>
        <v>Multimedia</v>
      </c>
      <c r="D30" s="56" t="str">
        <f aca="false">'Task Assignment'!E29</f>
        <v>HungVM2</v>
      </c>
      <c r="E30" s="57" t="str">
        <f aca="false">'Task Assignment'!H29</f>
        <v>28/03/2026</v>
      </c>
      <c r="F30" s="57" t="str">
        <f aca="false">'Task Assignment'!I29</f>
        <v>07/04/2026</v>
      </c>
      <c r="G30" s="58" t="str">
        <f aca="false">IF(AND(E30&lt;&gt;"",F30&lt;&gt;"",E30&lt;=46090,F30&gt;=46084),'Task Assignment'!J29,"")</f>
        <v/>
      </c>
      <c r="H30" s="58" t="str">
        <f aca="false">IF(AND(E30&lt;&gt;"",F30&lt;&gt;"",E30&lt;=46097,F30&gt;=46091),'Task Assignment'!J29,"")</f>
        <v/>
      </c>
      <c r="I30" s="58" t="str">
        <f aca="false">IF(AND(E30&lt;&gt;"",F30&lt;&gt;"",E30&lt;=46104,F30&gt;=46098),'Task Assignment'!J29,"")</f>
        <v/>
      </c>
      <c r="J30" s="58" t="str">
        <f aca="false">IF(AND(E30&lt;&gt;"",F30&lt;&gt;"",E30&lt;=46111,F30&gt;=46105),'Task Assignment'!J29,"")</f>
        <v/>
      </c>
      <c r="K30" s="58" t="str">
        <f aca="false">IF(AND(E30&lt;&gt;"",F30&lt;&gt;"",E30&lt;=46118,F30&gt;=46112),'Task Assignment'!J29,"")</f>
        <v/>
      </c>
      <c r="L30" s="58" t="str">
        <f aca="false">IF(AND(E30&lt;&gt;"",F30&lt;&gt;"",E30&lt;=46125,F30&gt;=46119),'Task Assignment'!J29,"")</f>
        <v/>
      </c>
      <c r="M30" s="58" t="str">
        <f aca="false">IF(AND(E30&lt;&gt;"",F30&lt;&gt;"",E30&lt;=46132,F30&gt;=46126),'Task Assignment'!J29,"")</f>
        <v/>
      </c>
      <c r="N30" s="58" t="str">
        <f aca="false">IF(AND(E30&lt;&gt;"",F30&lt;&gt;"",E30&lt;=46139,F30&gt;=46133),'Task Assignment'!J29,"")</f>
        <v/>
      </c>
    </row>
    <row r="31" customFormat="false" ht="15" hidden="false" customHeight="false" outlineLevel="0" collapsed="false">
      <c r="A31" s="49" t="str">
        <f aca="false">'Task Assignment'!A30</f>
        <v>T028</v>
      </c>
      <c r="B31" s="50" t="str">
        <f aca="false">'Task Assignment'!C30</f>
        <v>Sprint Review &amp; Tracking</v>
      </c>
      <c r="C31" s="51" t="str">
        <f aca="false">'Task Assignment'!D30</f>
        <v>PM</v>
      </c>
      <c r="D31" s="51" t="str">
        <f aca="false">'Task Assignment'!E30</f>
        <v>ToanNM</v>
      </c>
      <c r="E31" s="52" t="str">
        <f aca="false">'Task Assignment'!H30</f>
        <v>18/03/2026</v>
      </c>
      <c r="F31" s="52" t="str">
        <f aca="false">'Task Assignment'!I30</f>
        <v>14/04/2026</v>
      </c>
      <c r="G31" s="53" t="str">
        <f aca="false">IF(AND(E31&lt;&gt;"",F31&lt;&gt;"",E31&lt;=46090,F31&gt;=46084),'Task Assignment'!J30,"")</f>
        <v/>
      </c>
      <c r="H31" s="53" t="str">
        <f aca="false">IF(AND(E31&lt;&gt;"",F31&lt;&gt;"",E31&lt;=46097,F31&gt;=46091),'Task Assignment'!J30,"")</f>
        <v/>
      </c>
      <c r="I31" s="53" t="str">
        <f aca="false">IF(AND(E31&lt;&gt;"",F31&lt;&gt;"",E31&lt;=46104,F31&gt;=46098),'Task Assignment'!J30,"")</f>
        <v/>
      </c>
      <c r="J31" s="53" t="str">
        <f aca="false">IF(AND(E31&lt;&gt;"",F31&lt;&gt;"",E31&lt;=46111,F31&gt;=46105),'Task Assignment'!J30,"")</f>
        <v/>
      </c>
      <c r="K31" s="53" t="str">
        <f aca="false">IF(AND(E31&lt;&gt;"",F31&lt;&gt;"",E31&lt;=46118,F31&gt;=46112),'Task Assignment'!J30,"")</f>
        <v/>
      </c>
      <c r="L31" s="53" t="str">
        <f aca="false">IF(AND(E31&lt;&gt;"",F31&lt;&gt;"",E31&lt;=46125,F31&gt;=46119),'Task Assignment'!J30,"")</f>
        <v/>
      </c>
      <c r="M31" s="53" t="str">
        <f aca="false">IF(AND(E31&lt;&gt;"",F31&lt;&gt;"",E31&lt;=46132,F31&gt;=46126),'Task Assignment'!J30,"")</f>
        <v/>
      </c>
      <c r="N31" s="53" t="str">
        <f aca="false">IF(AND(E31&lt;&gt;"",F31&lt;&gt;"",E31&lt;=46139,F31&gt;=46133),'Task Assignment'!J30,"")</f>
        <v/>
      </c>
    </row>
    <row r="32" customFormat="false" ht="15" hidden="false" customHeight="false" outlineLevel="0" collapsed="false">
      <c r="A32" s="54" t="str">
        <f aca="false">'Task Assignment'!A31</f>
        <v>T029</v>
      </c>
      <c r="B32" s="55" t="str">
        <f aca="false">'Task Assignment'!C31</f>
        <v>Build &amp; Deployment Setup</v>
      </c>
      <c r="C32" s="56" t="str">
        <f aca="false">'Task Assignment'!D31</f>
        <v>OP</v>
      </c>
      <c r="D32" s="56" t="str">
        <f aca="false">'Task Assignment'!E31</f>
        <v>NienND</v>
      </c>
      <c r="E32" s="57" t="str">
        <f aca="false">'Task Assignment'!H31</f>
        <v>18/03/2026</v>
      </c>
      <c r="F32" s="57" t="str">
        <f aca="false">'Task Assignment'!I31</f>
        <v>24/03/2026</v>
      </c>
      <c r="G32" s="58" t="str">
        <f aca="false">IF(AND(E32&lt;&gt;"",F32&lt;&gt;"",E32&lt;=46090,F32&gt;=46084),'Task Assignment'!J31,"")</f>
        <v/>
      </c>
      <c r="H32" s="58" t="str">
        <f aca="false">IF(AND(E32&lt;&gt;"",F32&lt;&gt;"",E32&lt;=46097,F32&gt;=46091),'Task Assignment'!J31,"")</f>
        <v/>
      </c>
      <c r="I32" s="58" t="str">
        <f aca="false">IF(AND(E32&lt;&gt;"",F32&lt;&gt;"",E32&lt;=46104,F32&gt;=46098),'Task Assignment'!J31,"")</f>
        <v/>
      </c>
      <c r="J32" s="58" t="str">
        <f aca="false">IF(AND(E32&lt;&gt;"",F32&lt;&gt;"",E32&lt;=46111,F32&gt;=46105),'Task Assignment'!J31,"")</f>
        <v/>
      </c>
      <c r="K32" s="58" t="str">
        <f aca="false">IF(AND(E32&lt;&gt;"",F32&lt;&gt;"",E32&lt;=46118,F32&gt;=46112),'Task Assignment'!J31,"")</f>
        <v/>
      </c>
      <c r="L32" s="58" t="str">
        <f aca="false">IF(AND(E32&lt;&gt;"",F32&lt;&gt;"",E32&lt;=46125,F32&gt;=46119),'Task Assignment'!J31,"")</f>
        <v/>
      </c>
      <c r="M32" s="58" t="str">
        <f aca="false">IF(AND(E32&lt;&gt;"",F32&lt;&gt;"",E32&lt;=46132,F32&gt;=46126),'Task Assignment'!J31,"")</f>
        <v/>
      </c>
      <c r="N32" s="58" t="str">
        <f aca="false">IF(AND(E32&lt;&gt;"",F32&lt;&gt;"",E32&lt;=46139,F32&gt;=46133),'Task Assignment'!J31,"")</f>
        <v/>
      </c>
    </row>
    <row r="33" customFormat="false" ht="15" hidden="false" customHeight="false" outlineLevel="0" collapsed="false">
      <c r="A33" s="49" t="str">
        <f aca="false">'Task Assignment'!A32</f>
        <v>T030</v>
      </c>
      <c r="B33" s="50" t="str">
        <f aca="false">'Task Assignment'!C32</f>
        <v>Functional Testing</v>
      </c>
      <c r="C33" s="51" t="str">
        <f aca="false">'Task Assignment'!D32</f>
        <v>QC</v>
      </c>
      <c r="D33" s="51" t="str">
        <f aca="false">'Task Assignment'!E32</f>
        <v>NhanNT3</v>
      </c>
      <c r="E33" s="52" t="str">
        <f aca="false">'Task Assignment'!H32</f>
        <v>15/04/2026</v>
      </c>
      <c r="F33" s="52" t="str">
        <f aca="false">'Task Assignment'!I32</f>
        <v>21/04/2026</v>
      </c>
      <c r="G33" s="53" t="str">
        <f aca="false">IF(AND(E33&lt;&gt;"",F33&lt;&gt;"",E33&lt;=46090,F33&gt;=46084),'Task Assignment'!J32,"")</f>
        <v/>
      </c>
      <c r="H33" s="53" t="str">
        <f aca="false">IF(AND(E33&lt;&gt;"",F33&lt;&gt;"",E33&lt;=46097,F33&gt;=46091),'Task Assignment'!J32,"")</f>
        <v/>
      </c>
      <c r="I33" s="53" t="str">
        <f aca="false">IF(AND(E33&lt;&gt;"",F33&lt;&gt;"",E33&lt;=46104,F33&gt;=46098),'Task Assignment'!J32,"")</f>
        <v/>
      </c>
      <c r="J33" s="53" t="str">
        <f aca="false">IF(AND(E33&lt;&gt;"",F33&lt;&gt;"",E33&lt;=46111,F33&gt;=46105),'Task Assignment'!J32,"")</f>
        <v/>
      </c>
      <c r="K33" s="53" t="str">
        <f aca="false">IF(AND(E33&lt;&gt;"",F33&lt;&gt;"",E33&lt;=46118,F33&gt;=46112),'Task Assignment'!J32,"")</f>
        <v/>
      </c>
      <c r="L33" s="53" t="str">
        <f aca="false">IF(AND(E33&lt;&gt;"",F33&lt;&gt;"",E33&lt;=46125,F33&gt;=46119),'Task Assignment'!J32,"")</f>
        <v/>
      </c>
      <c r="M33" s="53" t="str">
        <f aca="false">IF(AND(E33&lt;&gt;"",F33&lt;&gt;"",E33&lt;=46132,F33&gt;=46126),'Task Assignment'!J32,"")</f>
        <v/>
      </c>
      <c r="N33" s="53" t="str">
        <f aca="false">IF(AND(E33&lt;&gt;"",F33&lt;&gt;"",E33&lt;=46139,F33&gt;=46133),'Task Assignment'!J32,"")</f>
        <v/>
      </c>
    </row>
    <row r="34" customFormat="false" ht="15" hidden="false" customHeight="false" outlineLevel="0" collapsed="false">
      <c r="A34" s="54" t="str">
        <f aca="false">'Task Assignment'!A33</f>
        <v>T031</v>
      </c>
      <c r="B34" s="55" t="str">
        <f aca="false">'Task Assignment'!C33</f>
        <v>Integration Testing</v>
      </c>
      <c r="C34" s="56" t="str">
        <f aca="false">'Task Assignment'!D33</f>
        <v>Dev</v>
      </c>
      <c r="D34" s="56" t="str">
        <f aca="false">'Task Assignment'!E33</f>
        <v>DienDQ</v>
      </c>
      <c r="E34" s="57" t="str">
        <f aca="false">'Task Assignment'!H33</f>
        <v>15/04/2026</v>
      </c>
      <c r="F34" s="57" t="str">
        <f aca="false">'Task Assignment'!I33</f>
        <v>19/04/2026</v>
      </c>
      <c r="G34" s="58" t="str">
        <f aca="false">IF(AND(E34&lt;&gt;"",F34&lt;&gt;"",E34&lt;=46090,F34&gt;=46084),'Task Assignment'!J33,"")</f>
        <v/>
      </c>
      <c r="H34" s="58" t="str">
        <f aca="false">IF(AND(E34&lt;&gt;"",F34&lt;&gt;"",E34&lt;=46097,F34&gt;=46091),'Task Assignment'!J33,"")</f>
        <v/>
      </c>
      <c r="I34" s="58" t="str">
        <f aca="false">IF(AND(E34&lt;&gt;"",F34&lt;&gt;"",E34&lt;=46104,F34&gt;=46098),'Task Assignment'!J33,"")</f>
        <v/>
      </c>
      <c r="J34" s="58" t="str">
        <f aca="false">IF(AND(E34&lt;&gt;"",F34&lt;&gt;"",E34&lt;=46111,F34&gt;=46105),'Task Assignment'!J33,"")</f>
        <v/>
      </c>
      <c r="K34" s="58" t="str">
        <f aca="false">IF(AND(E34&lt;&gt;"",F34&lt;&gt;"",E34&lt;=46118,F34&gt;=46112),'Task Assignment'!J33,"")</f>
        <v/>
      </c>
      <c r="L34" s="58" t="str">
        <f aca="false">IF(AND(E34&lt;&gt;"",F34&lt;&gt;"",E34&lt;=46125,F34&gt;=46119),'Task Assignment'!J33,"")</f>
        <v/>
      </c>
      <c r="M34" s="58" t="str">
        <f aca="false">IF(AND(E34&lt;&gt;"",F34&lt;&gt;"",E34&lt;=46132,F34&gt;=46126),'Task Assignment'!J33,"")</f>
        <v/>
      </c>
      <c r="N34" s="58" t="str">
        <f aca="false">IF(AND(E34&lt;&gt;"",F34&lt;&gt;"",E34&lt;=46139,F34&gt;=46133),'Task Assignment'!J33,"")</f>
        <v/>
      </c>
    </row>
    <row r="35" customFormat="false" ht="15" hidden="false" customHeight="false" outlineLevel="0" collapsed="false">
      <c r="A35" s="49" t="str">
        <f aca="false">'Task Assignment'!A34</f>
        <v>T032</v>
      </c>
      <c r="B35" s="50" t="str">
        <f aca="false">'Task Assignment'!C34</f>
        <v>Performance Testing</v>
      </c>
      <c r="C35" s="51" t="str">
        <f aca="false">'Task Assignment'!D34</f>
        <v>Dev</v>
      </c>
      <c r="D35" s="51" t="str">
        <f aca="false">'Task Assignment'!E34</f>
        <v>SonBNT</v>
      </c>
      <c r="E35" s="52" t="str">
        <f aca="false">'Task Assignment'!H34</f>
        <v>18/04/2026</v>
      </c>
      <c r="F35" s="52" t="str">
        <f aca="false">'Task Assignment'!I34</f>
        <v>22/04/2026</v>
      </c>
      <c r="G35" s="53" t="str">
        <f aca="false">IF(AND(E35&lt;&gt;"",F35&lt;&gt;"",E35&lt;=46090,F35&gt;=46084),'Task Assignment'!J34,"")</f>
        <v/>
      </c>
      <c r="H35" s="53" t="str">
        <f aca="false">IF(AND(E35&lt;&gt;"",F35&lt;&gt;"",E35&lt;=46097,F35&gt;=46091),'Task Assignment'!J34,"")</f>
        <v/>
      </c>
      <c r="I35" s="53" t="str">
        <f aca="false">IF(AND(E35&lt;&gt;"",F35&lt;&gt;"",E35&lt;=46104,F35&gt;=46098),'Task Assignment'!J34,"")</f>
        <v/>
      </c>
      <c r="J35" s="53" t="str">
        <f aca="false">IF(AND(E35&lt;&gt;"",F35&lt;&gt;"",E35&lt;=46111,F35&gt;=46105),'Task Assignment'!J34,"")</f>
        <v/>
      </c>
      <c r="K35" s="53" t="str">
        <f aca="false">IF(AND(E35&lt;&gt;"",F35&lt;&gt;"",E35&lt;=46118,F35&gt;=46112),'Task Assignment'!J34,"")</f>
        <v/>
      </c>
      <c r="L35" s="53" t="str">
        <f aca="false">IF(AND(E35&lt;&gt;"",F35&lt;&gt;"",E35&lt;=46125,F35&gt;=46119),'Task Assignment'!J34,"")</f>
        <v/>
      </c>
      <c r="M35" s="53" t="str">
        <f aca="false">IF(AND(E35&lt;&gt;"",F35&lt;&gt;"",E35&lt;=46132,F35&gt;=46126),'Task Assignment'!J34,"")</f>
        <v/>
      </c>
      <c r="N35" s="53" t="str">
        <f aca="false">IF(AND(E35&lt;&gt;"",F35&lt;&gt;"",E35&lt;=46139,F35&gt;=46133),'Task Assignment'!J34,"")</f>
        <v/>
      </c>
    </row>
    <row r="36" customFormat="false" ht="15" hidden="false" customHeight="false" outlineLevel="0" collapsed="false">
      <c r="A36" s="54" t="str">
        <f aca="false">'Task Assignment'!A35</f>
        <v>T033</v>
      </c>
      <c r="B36" s="55" t="str">
        <f aca="false">'Task Assignment'!C35</f>
        <v>Bug Fixing Sprint</v>
      </c>
      <c r="C36" s="56" t="str">
        <f aca="false">'Task Assignment'!D35</f>
        <v>Dev</v>
      </c>
      <c r="D36" s="56" t="str">
        <f aca="false">'Task Assignment'!E35</f>
        <v>CongNN</v>
      </c>
      <c r="E36" s="57" t="str">
        <f aca="false">'Task Assignment'!H35</f>
        <v>20/04/2026</v>
      </c>
      <c r="F36" s="57" t="str">
        <f aca="false">'Task Assignment'!I35</f>
        <v>26/04/2026</v>
      </c>
      <c r="G36" s="58" t="str">
        <f aca="false">IF(AND(E36&lt;&gt;"",F36&lt;&gt;"",E36&lt;=46090,F36&gt;=46084),'Task Assignment'!J35,"")</f>
        <v/>
      </c>
      <c r="H36" s="58" t="str">
        <f aca="false">IF(AND(E36&lt;&gt;"",F36&lt;&gt;"",E36&lt;=46097,F36&gt;=46091),'Task Assignment'!J35,"")</f>
        <v/>
      </c>
      <c r="I36" s="58" t="str">
        <f aca="false">IF(AND(E36&lt;&gt;"",F36&lt;&gt;"",E36&lt;=46104,F36&gt;=46098),'Task Assignment'!J35,"")</f>
        <v/>
      </c>
      <c r="J36" s="58" t="str">
        <f aca="false">IF(AND(E36&lt;&gt;"",F36&lt;&gt;"",E36&lt;=46111,F36&gt;=46105),'Task Assignment'!J35,"")</f>
        <v/>
      </c>
      <c r="K36" s="58" t="str">
        <f aca="false">IF(AND(E36&lt;&gt;"",F36&lt;&gt;"",E36&lt;=46118,F36&gt;=46112),'Task Assignment'!J35,"")</f>
        <v/>
      </c>
      <c r="L36" s="58" t="str">
        <f aca="false">IF(AND(E36&lt;&gt;"",F36&lt;&gt;"",E36&lt;=46125,F36&gt;=46119),'Task Assignment'!J35,"")</f>
        <v/>
      </c>
      <c r="M36" s="58" t="str">
        <f aca="false">IF(AND(E36&lt;&gt;"",F36&lt;&gt;"",E36&lt;=46132,F36&gt;=46126),'Task Assignment'!J35,"")</f>
        <v/>
      </c>
      <c r="N36" s="58" t="str">
        <f aca="false">IF(AND(E36&lt;&gt;"",F36&lt;&gt;"",E36&lt;=46139,F36&gt;=46133),'Task Assignment'!J35,"")</f>
        <v/>
      </c>
    </row>
    <row r="37" customFormat="false" ht="15" hidden="false" customHeight="false" outlineLevel="0" collapsed="false">
      <c r="A37" s="49" t="str">
        <f aca="false">'Task Assignment'!A36</f>
        <v>T034</v>
      </c>
      <c r="B37" s="50" t="str">
        <f aca="false">'Task Assignment'!C36</f>
        <v>UI/UX Polish</v>
      </c>
      <c r="C37" s="51" t="str">
        <f aca="false">'Task Assignment'!D36</f>
        <v>Design</v>
      </c>
      <c r="D37" s="51" t="str">
        <f aca="false">'Task Assignment'!E36</f>
        <v>LocPT</v>
      </c>
      <c r="E37" s="52" t="str">
        <f aca="false">'Task Assignment'!H36</f>
        <v>20/04/2026</v>
      </c>
      <c r="F37" s="52" t="str">
        <f aca="false">'Task Assignment'!I36</f>
        <v>25/04/2026</v>
      </c>
      <c r="G37" s="53" t="str">
        <f aca="false">IF(AND(E37&lt;&gt;"",F37&lt;&gt;"",E37&lt;=46090,F37&gt;=46084),'Task Assignment'!J36,"")</f>
        <v/>
      </c>
      <c r="H37" s="53" t="str">
        <f aca="false">IF(AND(E37&lt;&gt;"",F37&lt;&gt;"",E37&lt;=46097,F37&gt;=46091),'Task Assignment'!J36,"")</f>
        <v/>
      </c>
      <c r="I37" s="53" t="str">
        <f aca="false">IF(AND(E37&lt;&gt;"",F37&lt;&gt;"",E37&lt;=46104,F37&gt;=46098),'Task Assignment'!J36,"")</f>
        <v/>
      </c>
      <c r="J37" s="53" t="str">
        <f aca="false">IF(AND(E37&lt;&gt;"",F37&lt;&gt;"",E37&lt;=46111,F37&gt;=46105),'Task Assignment'!J36,"")</f>
        <v/>
      </c>
      <c r="K37" s="53" t="str">
        <f aca="false">IF(AND(E37&lt;&gt;"",F37&lt;&gt;"",E37&lt;=46118,F37&gt;=46112),'Task Assignment'!J36,"")</f>
        <v/>
      </c>
      <c r="L37" s="53" t="str">
        <f aca="false">IF(AND(E37&lt;&gt;"",F37&lt;&gt;"",E37&lt;=46125,F37&gt;=46119),'Task Assignment'!J36,"")</f>
        <v/>
      </c>
      <c r="M37" s="53" t="str">
        <f aca="false">IF(AND(E37&lt;&gt;"",F37&lt;&gt;"",E37&lt;=46132,F37&gt;=46126),'Task Assignment'!J36,"")</f>
        <v/>
      </c>
      <c r="N37" s="53" t="str">
        <f aca="false">IF(AND(E37&lt;&gt;"",F37&lt;&gt;"",E37&lt;=46139,F37&gt;=46133),'Task Assignment'!J36,"")</f>
        <v/>
      </c>
    </row>
    <row r="38" customFormat="false" ht="15" hidden="false" customHeight="false" outlineLevel="0" collapsed="false">
      <c r="A38" s="54" t="str">
        <f aca="false">'Task Assignment'!A37</f>
        <v>T035</v>
      </c>
      <c r="B38" s="55" t="str">
        <f aca="false">'Task Assignment'!C37</f>
        <v>Art Asset Polish</v>
      </c>
      <c r="C38" s="56" t="str">
        <f aca="false">'Task Assignment'!D37</f>
        <v>Art</v>
      </c>
      <c r="D38" s="56" t="str">
        <f aca="false">'Task Assignment'!E37</f>
        <v>HòaGTT</v>
      </c>
      <c r="E38" s="57" t="str">
        <f aca="false">'Task Assignment'!H37</f>
        <v>20/04/2026</v>
      </c>
      <c r="F38" s="57" t="str">
        <f aca="false">'Task Assignment'!I37</f>
        <v>25/04/2026</v>
      </c>
      <c r="G38" s="58" t="str">
        <f aca="false">IF(AND(E38&lt;&gt;"",F38&lt;&gt;"",E38&lt;=46090,F38&gt;=46084),'Task Assignment'!J37,"")</f>
        <v/>
      </c>
      <c r="H38" s="58" t="str">
        <f aca="false">IF(AND(E38&lt;&gt;"",F38&lt;&gt;"",E38&lt;=46097,F38&gt;=46091),'Task Assignment'!J37,"")</f>
        <v/>
      </c>
      <c r="I38" s="58" t="str">
        <f aca="false">IF(AND(E38&lt;&gt;"",F38&lt;&gt;"",E38&lt;=46104,F38&gt;=46098),'Task Assignment'!J37,"")</f>
        <v/>
      </c>
      <c r="J38" s="58" t="str">
        <f aca="false">IF(AND(E38&lt;&gt;"",F38&lt;&gt;"",E38&lt;=46111,F38&gt;=46105),'Task Assignment'!J37,"")</f>
        <v/>
      </c>
      <c r="K38" s="58" t="str">
        <f aca="false">IF(AND(E38&lt;&gt;"",F38&lt;&gt;"",E38&lt;=46118,F38&gt;=46112),'Task Assignment'!J37,"")</f>
        <v/>
      </c>
      <c r="L38" s="58" t="str">
        <f aca="false">IF(AND(E38&lt;&gt;"",F38&lt;&gt;"",E38&lt;=46125,F38&gt;=46119),'Task Assignment'!J37,"")</f>
        <v/>
      </c>
      <c r="M38" s="58" t="str">
        <f aca="false">IF(AND(E38&lt;&gt;"",F38&lt;&gt;"",E38&lt;=46132,F38&gt;=46126),'Task Assignment'!J37,"")</f>
        <v/>
      </c>
      <c r="N38" s="58" t="str">
        <f aca="false">IF(AND(E38&lt;&gt;"",F38&lt;&gt;"",E38&lt;=46139,F38&gt;=46133),'Task Assignment'!J37,"")</f>
        <v/>
      </c>
    </row>
    <row r="39" customFormat="false" ht="15" hidden="false" customHeight="false" outlineLevel="0" collapsed="false">
      <c r="A39" s="49" t="str">
        <f aca="false">'Task Assignment'!A38</f>
        <v>T036</v>
      </c>
      <c r="B39" s="50" t="str">
        <f aca="false">'Task Assignment'!C38</f>
        <v>Final Build &amp; Release</v>
      </c>
      <c r="C39" s="51" t="str">
        <f aca="false">'Task Assignment'!D38</f>
        <v>OP</v>
      </c>
      <c r="D39" s="51" t="str">
        <f aca="false">'Task Assignment'!E38</f>
        <v>NienND</v>
      </c>
      <c r="E39" s="52" t="str">
        <f aca="false">'Task Assignment'!H38</f>
        <v>26/04/2026</v>
      </c>
      <c r="F39" s="52" t="str">
        <f aca="false">'Task Assignment'!I38</f>
        <v>28/04/2026</v>
      </c>
      <c r="G39" s="53" t="str">
        <f aca="false">IF(AND(E39&lt;&gt;"",F39&lt;&gt;"",E39&lt;=46090,F39&gt;=46084),'Task Assignment'!J38,"")</f>
        <v/>
      </c>
      <c r="H39" s="53" t="str">
        <f aca="false">IF(AND(E39&lt;&gt;"",F39&lt;&gt;"",E39&lt;=46097,F39&gt;=46091),'Task Assignment'!J38,"")</f>
        <v/>
      </c>
      <c r="I39" s="53" t="str">
        <f aca="false">IF(AND(E39&lt;&gt;"",F39&lt;&gt;"",E39&lt;=46104,F39&gt;=46098),'Task Assignment'!J38,"")</f>
        <v/>
      </c>
      <c r="J39" s="53" t="str">
        <f aca="false">IF(AND(E39&lt;&gt;"",F39&lt;&gt;"",E39&lt;=46111,F39&gt;=46105),'Task Assignment'!J38,"")</f>
        <v/>
      </c>
      <c r="K39" s="53" t="str">
        <f aca="false">IF(AND(E39&lt;&gt;"",F39&lt;&gt;"",E39&lt;=46118,F39&gt;=46112),'Task Assignment'!J38,"")</f>
        <v/>
      </c>
      <c r="L39" s="53" t="str">
        <f aca="false">IF(AND(E39&lt;&gt;"",F39&lt;&gt;"",E39&lt;=46125,F39&gt;=46119),'Task Assignment'!J38,"")</f>
        <v/>
      </c>
      <c r="M39" s="53" t="str">
        <f aca="false">IF(AND(E39&lt;&gt;"",F39&lt;&gt;"",E39&lt;=46132,F39&gt;=46126),'Task Assignment'!J38,"")</f>
        <v/>
      </c>
      <c r="N39" s="53" t="str">
        <f aca="false">IF(AND(E39&lt;&gt;"",F39&lt;&gt;"",E39&lt;=46139,F39&gt;=46133),'Task Assignment'!J38,"")</f>
        <v/>
      </c>
    </row>
    <row r="40" customFormat="false" ht="15" hidden="false" customHeight="false" outlineLevel="0" collapsed="false">
      <c r="A40" s="54" t="str">
        <f aca="false">'Task Assignment'!A39</f>
        <v>T037</v>
      </c>
      <c r="B40" s="55" t="str">
        <f aca="false">'Task Assignment'!C39</f>
        <v>Release Sign-off</v>
      </c>
      <c r="C40" s="56" t="str">
        <f aca="false">'Task Assignment'!D39</f>
        <v>PM</v>
      </c>
      <c r="D40" s="56" t="str">
        <f aca="false">'Task Assignment'!E39</f>
        <v>ToanNM</v>
      </c>
      <c r="E40" s="57" t="str">
        <f aca="false">'Task Assignment'!H39</f>
        <v>28/04/2026</v>
      </c>
      <c r="F40" s="57" t="str">
        <f aca="false">'Task Assignment'!I39</f>
        <v>28/04/2026</v>
      </c>
      <c r="G40" s="58" t="str">
        <f aca="false">IF(AND(E40&lt;&gt;"",F40&lt;&gt;"",E40&lt;=46090,F40&gt;=46084),'Task Assignment'!J39,"")</f>
        <v/>
      </c>
      <c r="H40" s="58" t="str">
        <f aca="false">IF(AND(E40&lt;&gt;"",F40&lt;&gt;"",E40&lt;=46097,F40&gt;=46091),'Task Assignment'!J39,"")</f>
        <v/>
      </c>
      <c r="I40" s="58" t="str">
        <f aca="false">IF(AND(E40&lt;&gt;"",F40&lt;&gt;"",E40&lt;=46104,F40&gt;=46098),'Task Assignment'!J39,"")</f>
        <v/>
      </c>
      <c r="J40" s="58" t="str">
        <f aca="false">IF(AND(E40&lt;&gt;"",F40&lt;&gt;"",E40&lt;=46111,F40&gt;=46105),'Task Assignment'!J39,"")</f>
        <v/>
      </c>
      <c r="K40" s="58" t="str">
        <f aca="false">IF(AND(E40&lt;&gt;"",F40&lt;&gt;"",E40&lt;=46118,F40&gt;=46112),'Task Assignment'!J39,"")</f>
        <v/>
      </c>
      <c r="L40" s="58" t="str">
        <f aca="false">IF(AND(E40&lt;&gt;"",F40&lt;&gt;"",E40&lt;=46125,F40&gt;=46119),'Task Assignment'!J39,"")</f>
        <v/>
      </c>
      <c r="M40" s="58" t="str">
        <f aca="false">IF(AND(E40&lt;&gt;"",F40&lt;&gt;"",E40&lt;=46132,F40&gt;=46126),'Task Assignment'!J39,"")</f>
        <v/>
      </c>
      <c r="N40" s="58" t="str">
        <f aca="false">IF(AND(E40&lt;&gt;"",F40&lt;&gt;"",E40&lt;=46139,F40&gt;=46133),'Task Assignment'!J39,"")</f>
        <v/>
      </c>
    </row>
    <row r="41" customFormat="false" ht="15" hidden="false" customHeight="false" outlineLevel="0" collapsed="false">
      <c r="A41" s="49" t="n">
        <f aca="false">'Task Assignment'!A40</f>
        <v>0</v>
      </c>
      <c r="B41" s="50" t="n">
        <f aca="false">'Task Assignment'!C40</f>
        <v>0</v>
      </c>
      <c r="C41" s="51" t="n">
        <f aca="false">'Task Assignment'!D40</f>
        <v>0</v>
      </c>
      <c r="D41" s="51" t="n">
        <f aca="false">'Task Assignment'!E40</f>
        <v>0</v>
      </c>
      <c r="E41" s="52" t="n">
        <f aca="false">'Task Assignment'!H40</f>
        <v>0</v>
      </c>
      <c r="F41" s="52" t="n">
        <f aca="false">'Task Assignment'!I40</f>
        <v>0</v>
      </c>
      <c r="G41" s="53" t="str">
        <f aca="false">IF(AND(E41&lt;&gt;"",F41&lt;&gt;"",E41&lt;=46090,F41&gt;=46084),'Task Assignment'!J40,"")</f>
        <v/>
      </c>
      <c r="H41" s="53" t="str">
        <f aca="false">IF(AND(E41&lt;&gt;"",F41&lt;&gt;"",E41&lt;=46097,F41&gt;=46091),'Task Assignment'!J40,"")</f>
        <v/>
      </c>
      <c r="I41" s="53" t="str">
        <f aca="false">IF(AND(E41&lt;&gt;"",F41&lt;&gt;"",E41&lt;=46104,F41&gt;=46098),'Task Assignment'!J40,"")</f>
        <v/>
      </c>
      <c r="J41" s="53" t="str">
        <f aca="false">IF(AND(E41&lt;&gt;"",F41&lt;&gt;"",E41&lt;=46111,F41&gt;=46105),'Task Assignment'!J40,"")</f>
        <v/>
      </c>
      <c r="K41" s="53" t="str">
        <f aca="false">IF(AND(E41&lt;&gt;"",F41&lt;&gt;"",E41&lt;=46118,F41&gt;=46112),'Task Assignment'!J40,"")</f>
        <v/>
      </c>
      <c r="L41" s="53" t="str">
        <f aca="false">IF(AND(E41&lt;&gt;"",F41&lt;&gt;"",E41&lt;=46125,F41&gt;=46119),'Task Assignment'!J40,"")</f>
        <v/>
      </c>
      <c r="M41" s="53" t="str">
        <f aca="false">IF(AND(E41&lt;&gt;"",F41&lt;&gt;"",E41&lt;=46132,F41&gt;=46126),'Task Assignment'!J40,"")</f>
        <v/>
      </c>
      <c r="N41" s="53" t="str">
        <f aca="false">IF(AND(E41&lt;&gt;"",F41&lt;&gt;"",E41&lt;=46139,F41&gt;=46133),'Task Assignment'!J40,"")</f>
        <v/>
      </c>
    </row>
    <row r="42" customFormat="false" ht="15" hidden="false" customHeight="false" outlineLevel="0" collapsed="false">
      <c r="A42" s="54" t="n">
        <f aca="false">'Task Assignment'!A41</f>
        <v>0</v>
      </c>
      <c r="B42" s="55" t="n">
        <f aca="false">'Task Assignment'!C41</f>
        <v>0</v>
      </c>
      <c r="C42" s="56" t="n">
        <f aca="false">'Task Assignment'!D41</f>
        <v>0</v>
      </c>
      <c r="D42" s="56" t="n">
        <f aca="false">'Task Assignment'!E41</f>
        <v>0</v>
      </c>
      <c r="E42" s="57" t="n">
        <f aca="false">'Task Assignment'!H41</f>
        <v>0</v>
      </c>
      <c r="F42" s="57" t="n">
        <f aca="false">'Task Assignment'!I41</f>
        <v>0</v>
      </c>
      <c r="G42" s="58" t="str">
        <f aca="false">IF(AND(E42&lt;&gt;"",F42&lt;&gt;"",E42&lt;=46090,F42&gt;=46084),'Task Assignment'!J41,"")</f>
        <v/>
      </c>
      <c r="H42" s="58" t="str">
        <f aca="false">IF(AND(E42&lt;&gt;"",F42&lt;&gt;"",E42&lt;=46097,F42&gt;=46091),'Task Assignment'!J41,"")</f>
        <v/>
      </c>
      <c r="I42" s="58" t="str">
        <f aca="false">IF(AND(E42&lt;&gt;"",F42&lt;&gt;"",E42&lt;=46104,F42&gt;=46098),'Task Assignment'!J41,"")</f>
        <v/>
      </c>
      <c r="J42" s="58" t="str">
        <f aca="false">IF(AND(E42&lt;&gt;"",F42&lt;&gt;"",E42&lt;=46111,F42&gt;=46105),'Task Assignment'!J41,"")</f>
        <v/>
      </c>
      <c r="K42" s="58" t="str">
        <f aca="false">IF(AND(E42&lt;&gt;"",F42&lt;&gt;"",E42&lt;=46118,F42&gt;=46112),'Task Assignment'!J41,"")</f>
        <v/>
      </c>
      <c r="L42" s="58" t="str">
        <f aca="false">IF(AND(E42&lt;&gt;"",F42&lt;&gt;"",E42&lt;=46125,F42&gt;=46119),'Task Assignment'!J41,"")</f>
        <v/>
      </c>
      <c r="M42" s="58" t="str">
        <f aca="false">IF(AND(E42&lt;&gt;"",F42&lt;&gt;"",E42&lt;=46132,F42&gt;=46126),'Task Assignment'!J41,"")</f>
        <v/>
      </c>
      <c r="N42" s="58" t="str">
        <f aca="false">IF(AND(E42&lt;&gt;"",F42&lt;&gt;"",E42&lt;=46139,F42&gt;=46133),'Task Assignment'!J41,"")</f>
        <v/>
      </c>
    </row>
    <row r="43" customFormat="false" ht="15" hidden="false" customHeight="false" outlineLevel="0" collapsed="false">
      <c r="A43" s="49" t="n">
        <f aca="false">'Task Assignment'!A42</f>
        <v>0</v>
      </c>
      <c r="B43" s="50" t="n">
        <f aca="false">'Task Assignment'!C42</f>
        <v>0</v>
      </c>
      <c r="C43" s="51" t="n">
        <f aca="false">'Task Assignment'!D42</f>
        <v>0</v>
      </c>
      <c r="D43" s="51" t="n">
        <f aca="false">'Task Assignment'!E42</f>
        <v>0</v>
      </c>
      <c r="E43" s="52" t="n">
        <f aca="false">'Task Assignment'!H42</f>
        <v>0</v>
      </c>
      <c r="F43" s="52" t="n">
        <f aca="false">'Task Assignment'!I42</f>
        <v>0</v>
      </c>
      <c r="G43" s="53" t="str">
        <f aca="false">IF(AND(E43&lt;&gt;"",F43&lt;&gt;"",E43&lt;=46090,F43&gt;=46084),'Task Assignment'!J42,"")</f>
        <v/>
      </c>
      <c r="H43" s="53" t="str">
        <f aca="false">IF(AND(E43&lt;&gt;"",F43&lt;&gt;"",E43&lt;=46097,F43&gt;=46091),'Task Assignment'!J42,"")</f>
        <v/>
      </c>
      <c r="I43" s="53" t="str">
        <f aca="false">IF(AND(E43&lt;&gt;"",F43&lt;&gt;"",E43&lt;=46104,F43&gt;=46098),'Task Assignment'!J42,"")</f>
        <v/>
      </c>
      <c r="J43" s="53" t="str">
        <f aca="false">IF(AND(E43&lt;&gt;"",F43&lt;&gt;"",E43&lt;=46111,F43&gt;=46105),'Task Assignment'!J42,"")</f>
        <v/>
      </c>
      <c r="K43" s="53" t="str">
        <f aca="false">IF(AND(E43&lt;&gt;"",F43&lt;&gt;"",E43&lt;=46118,F43&gt;=46112),'Task Assignment'!J42,"")</f>
        <v/>
      </c>
      <c r="L43" s="53" t="str">
        <f aca="false">IF(AND(E43&lt;&gt;"",F43&lt;&gt;"",E43&lt;=46125,F43&gt;=46119),'Task Assignment'!J42,"")</f>
        <v/>
      </c>
      <c r="M43" s="53" t="str">
        <f aca="false">IF(AND(E43&lt;&gt;"",F43&lt;&gt;"",E43&lt;=46132,F43&gt;=46126),'Task Assignment'!J42,"")</f>
        <v/>
      </c>
      <c r="N43" s="53" t="str">
        <f aca="false">IF(AND(E43&lt;&gt;"",F43&lt;&gt;"",E43&lt;=46139,F43&gt;=46133),'Task Assignment'!J42,"")</f>
        <v/>
      </c>
    </row>
    <row r="44" customFormat="false" ht="15" hidden="false" customHeight="false" outlineLevel="0" collapsed="false">
      <c r="A44" s="54" t="n">
        <f aca="false">'Task Assignment'!A43</f>
        <v>0</v>
      </c>
      <c r="B44" s="55" t="n">
        <f aca="false">'Task Assignment'!C43</f>
        <v>0</v>
      </c>
      <c r="C44" s="56" t="n">
        <f aca="false">'Task Assignment'!D43</f>
        <v>0</v>
      </c>
      <c r="D44" s="56" t="n">
        <f aca="false">'Task Assignment'!E43</f>
        <v>0</v>
      </c>
      <c r="E44" s="57" t="n">
        <f aca="false">'Task Assignment'!H43</f>
        <v>0</v>
      </c>
      <c r="F44" s="57" t="n">
        <f aca="false">'Task Assignment'!I43</f>
        <v>0</v>
      </c>
      <c r="G44" s="58" t="str">
        <f aca="false">IF(AND(E44&lt;&gt;"",F44&lt;&gt;"",E44&lt;=46090,F44&gt;=46084),'Task Assignment'!J43,"")</f>
        <v/>
      </c>
      <c r="H44" s="58" t="str">
        <f aca="false">IF(AND(E44&lt;&gt;"",F44&lt;&gt;"",E44&lt;=46097,F44&gt;=46091),'Task Assignment'!J43,"")</f>
        <v/>
      </c>
      <c r="I44" s="58" t="str">
        <f aca="false">IF(AND(E44&lt;&gt;"",F44&lt;&gt;"",E44&lt;=46104,F44&gt;=46098),'Task Assignment'!J43,"")</f>
        <v/>
      </c>
      <c r="J44" s="58" t="str">
        <f aca="false">IF(AND(E44&lt;&gt;"",F44&lt;&gt;"",E44&lt;=46111,F44&gt;=46105),'Task Assignment'!J43,"")</f>
        <v/>
      </c>
      <c r="K44" s="58" t="str">
        <f aca="false">IF(AND(E44&lt;&gt;"",F44&lt;&gt;"",E44&lt;=46118,F44&gt;=46112),'Task Assignment'!J43,"")</f>
        <v/>
      </c>
      <c r="L44" s="58" t="str">
        <f aca="false">IF(AND(E44&lt;&gt;"",F44&lt;&gt;"",E44&lt;=46125,F44&gt;=46119),'Task Assignment'!J43,"")</f>
        <v/>
      </c>
      <c r="M44" s="58" t="str">
        <f aca="false">IF(AND(E44&lt;&gt;"",F44&lt;&gt;"",E44&lt;=46132,F44&gt;=46126),'Task Assignment'!J43,"")</f>
        <v/>
      </c>
      <c r="N44" s="58" t="str">
        <f aca="false">IF(AND(E44&lt;&gt;"",F44&lt;&gt;"",E44&lt;=46139,F44&gt;=46133),'Task Assignment'!J43,"")</f>
        <v/>
      </c>
    </row>
    <row r="45" customFormat="false" ht="15" hidden="false" customHeight="false" outlineLevel="0" collapsed="false">
      <c r="A45" s="49" t="n">
        <f aca="false">'Task Assignment'!A44</f>
        <v>0</v>
      </c>
      <c r="B45" s="50" t="n">
        <f aca="false">'Task Assignment'!C44</f>
        <v>0</v>
      </c>
      <c r="C45" s="51" t="n">
        <f aca="false">'Task Assignment'!D44</f>
        <v>0</v>
      </c>
      <c r="D45" s="51" t="n">
        <f aca="false">'Task Assignment'!E44</f>
        <v>0</v>
      </c>
      <c r="E45" s="52" t="n">
        <f aca="false">'Task Assignment'!H44</f>
        <v>0</v>
      </c>
      <c r="F45" s="52" t="n">
        <f aca="false">'Task Assignment'!I44</f>
        <v>0</v>
      </c>
      <c r="G45" s="53" t="str">
        <f aca="false">IF(AND(E45&lt;&gt;"",F45&lt;&gt;"",E45&lt;=46090,F45&gt;=46084),'Task Assignment'!J44,"")</f>
        <v/>
      </c>
      <c r="H45" s="53" t="str">
        <f aca="false">IF(AND(E45&lt;&gt;"",F45&lt;&gt;"",E45&lt;=46097,F45&gt;=46091),'Task Assignment'!J44,"")</f>
        <v/>
      </c>
      <c r="I45" s="53" t="str">
        <f aca="false">IF(AND(E45&lt;&gt;"",F45&lt;&gt;"",E45&lt;=46104,F45&gt;=46098),'Task Assignment'!J44,"")</f>
        <v/>
      </c>
      <c r="J45" s="53" t="str">
        <f aca="false">IF(AND(E45&lt;&gt;"",F45&lt;&gt;"",E45&lt;=46111,F45&gt;=46105),'Task Assignment'!J44,"")</f>
        <v/>
      </c>
      <c r="K45" s="53" t="str">
        <f aca="false">IF(AND(E45&lt;&gt;"",F45&lt;&gt;"",E45&lt;=46118,F45&gt;=46112),'Task Assignment'!J44,"")</f>
        <v/>
      </c>
      <c r="L45" s="53" t="str">
        <f aca="false">IF(AND(E45&lt;&gt;"",F45&lt;&gt;"",E45&lt;=46125,F45&gt;=46119),'Task Assignment'!J44,"")</f>
        <v/>
      </c>
      <c r="M45" s="53" t="str">
        <f aca="false">IF(AND(E45&lt;&gt;"",F45&lt;&gt;"",E45&lt;=46132,F45&gt;=46126),'Task Assignment'!J44,"")</f>
        <v/>
      </c>
      <c r="N45" s="53" t="str">
        <f aca="false">IF(AND(E45&lt;&gt;"",F45&lt;&gt;"",E45&lt;=46139,F45&gt;=46133),'Task Assignment'!J44,"")</f>
        <v/>
      </c>
    </row>
    <row r="46" customFormat="false" ht="15" hidden="false" customHeight="false" outlineLevel="0" collapsed="false">
      <c r="A46" s="54" t="n">
        <f aca="false">'Task Assignment'!A45</f>
        <v>0</v>
      </c>
      <c r="B46" s="55" t="n">
        <f aca="false">'Task Assignment'!C45</f>
        <v>0</v>
      </c>
      <c r="C46" s="56" t="n">
        <f aca="false">'Task Assignment'!D45</f>
        <v>0</v>
      </c>
      <c r="D46" s="56" t="n">
        <f aca="false">'Task Assignment'!E45</f>
        <v>0</v>
      </c>
      <c r="E46" s="57" t="n">
        <f aca="false">'Task Assignment'!H45</f>
        <v>0</v>
      </c>
      <c r="F46" s="57" t="n">
        <f aca="false">'Task Assignment'!I45</f>
        <v>0</v>
      </c>
      <c r="G46" s="58" t="str">
        <f aca="false">IF(AND(E46&lt;&gt;"",F46&lt;&gt;"",E46&lt;=46090,F46&gt;=46084),'Task Assignment'!J45,"")</f>
        <v/>
      </c>
      <c r="H46" s="58" t="str">
        <f aca="false">IF(AND(E46&lt;&gt;"",F46&lt;&gt;"",E46&lt;=46097,F46&gt;=46091),'Task Assignment'!J45,"")</f>
        <v/>
      </c>
      <c r="I46" s="58" t="str">
        <f aca="false">IF(AND(E46&lt;&gt;"",F46&lt;&gt;"",E46&lt;=46104,F46&gt;=46098),'Task Assignment'!J45,"")</f>
        <v/>
      </c>
      <c r="J46" s="58" t="str">
        <f aca="false">IF(AND(E46&lt;&gt;"",F46&lt;&gt;"",E46&lt;=46111,F46&gt;=46105),'Task Assignment'!J45,"")</f>
        <v/>
      </c>
      <c r="K46" s="58" t="str">
        <f aca="false">IF(AND(E46&lt;&gt;"",F46&lt;&gt;"",E46&lt;=46118,F46&gt;=46112),'Task Assignment'!J45,"")</f>
        <v/>
      </c>
      <c r="L46" s="58" t="str">
        <f aca="false">IF(AND(E46&lt;&gt;"",F46&lt;&gt;"",E46&lt;=46125,F46&gt;=46119),'Task Assignment'!J45,"")</f>
        <v/>
      </c>
      <c r="M46" s="58" t="str">
        <f aca="false">IF(AND(E46&lt;&gt;"",F46&lt;&gt;"",E46&lt;=46132,F46&gt;=46126),'Task Assignment'!J45,"")</f>
        <v/>
      </c>
      <c r="N46" s="58" t="str">
        <f aca="false">IF(AND(E46&lt;&gt;"",F46&lt;&gt;"",E46&lt;=46139,F46&gt;=46133),'Task Assignment'!J45,"")</f>
        <v/>
      </c>
    </row>
    <row r="47" customFormat="false" ht="15" hidden="false" customHeight="false" outlineLevel="0" collapsed="false">
      <c r="A47" s="49" t="n">
        <f aca="false">'Task Assignment'!A46</f>
        <v>0</v>
      </c>
      <c r="B47" s="50" t="n">
        <f aca="false">'Task Assignment'!C46</f>
        <v>0</v>
      </c>
      <c r="C47" s="51" t="n">
        <f aca="false">'Task Assignment'!D46</f>
        <v>0</v>
      </c>
      <c r="D47" s="51" t="n">
        <f aca="false">'Task Assignment'!E46</f>
        <v>0</v>
      </c>
      <c r="E47" s="52" t="n">
        <f aca="false">'Task Assignment'!H46</f>
        <v>0</v>
      </c>
      <c r="F47" s="52" t="n">
        <f aca="false">'Task Assignment'!I46</f>
        <v>0</v>
      </c>
      <c r="G47" s="53" t="str">
        <f aca="false">IF(AND(E47&lt;&gt;"",F47&lt;&gt;"",E47&lt;=46090,F47&gt;=46084),'Task Assignment'!J46,"")</f>
        <v/>
      </c>
      <c r="H47" s="53" t="str">
        <f aca="false">IF(AND(E47&lt;&gt;"",F47&lt;&gt;"",E47&lt;=46097,F47&gt;=46091),'Task Assignment'!J46,"")</f>
        <v/>
      </c>
      <c r="I47" s="53" t="str">
        <f aca="false">IF(AND(E47&lt;&gt;"",F47&lt;&gt;"",E47&lt;=46104,F47&gt;=46098),'Task Assignment'!J46,"")</f>
        <v/>
      </c>
      <c r="J47" s="53" t="str">
        <f aca="false">IF(AND(E47&lt;&gt;"",F47&lt;&gt;"",E47&lt;=46111,F47&gt;=46105),'Task Assignment'!J46,"")</f>
        <v/>
      </c>
      <c r="K47" s="53" t="str">
        <f aca="false">IF(AND(E47&lt;&gt;"",F47&lt;&gt;"",E47&lt;=46118,F47&gt;=46112),'Task Assignment'!J46,"")</f>
        <v/>
      </c>
      <c r="L47" s="53" t="str">
        <f aca="false">IF(AND(E47&lt;&gt;"",F47&lt;&gt;"",E47&lt;=46125,F47&gt;=46119),'Task Assignment'!J46,"")</f>
        <v/>
      </c>
      <c r="M47" s="53" t="str">
        <f aca="false">IF(AND(E47&lt;&gt;"",F47&lt;&gt;"",E47&lt;=46132,F47&gt;=46126),'Task Assignment'!J46,"")</f>
        <v/>
      </c>
      <c r="N47" s="53" t="str">
        <f aca="false">IF(AND(E47&lt;&gt;"",F47&lt;&gt;"",E47&lt;=46139,F47&gt;=46133),'Task Assignment'!J46,"")</f>
        <v/>
      </c>
    </row>
    <row r="48" customFormat="false" ht="15" hidden="false" customHeight="false" outlineLevel="0" collapsed="false">
      <c r="A48" s="54" t="n">
        <f aca="false">'Task Assignment'!A47</f>
        <v>0</v>
      </c>
      <c r="B48" s="55" t="n">
        <f aca="false">'Task Assignment'!C47</f>
        <v>0</v>
      </c>
      <c r="C48" s="56" t="n">
        <f aca="false">'Task Assignment'!D47</f>
        <v>0</v>
      </c>
      <c r="D48" s="56" t="n">
        <f aca="false">'Task Assignment'!E47</f>
        <v>0</v>
      </c>
      <c r="E48" s="57" t="n">
        <f aca="false">'Task Assignment'!H47</f>
        <v>0</v>
      </c>
      <c r="F48" s="57" t="n">
        <f aca="false">'Task Assignment'!I47</f>
        <v>0</v>
      </c>
      <c r="G48" s="58" t="str">
        <f aca="false">IF(AND(E48&lt;&gt;"",F48&lt;&gt;"",E48&lt;=46090,F48&gt;=46084),'Task Assignment'!J47,"")</f>
        <v/>
      </c>
      <c r="H48" s="58" t="str">
        <f aca="false">IF(AND(E48&lt;&gt;"",F48&lt;&gt;"",E48&lt;=46097,F48&gt;=46091),'Task Assignment'!J47,"")</f>
        <v/>
      </c>
      <c r="I48" s="58" t="str">
        <f aca="false">IF(AND(E48&lt;&gt;"",F48&lt;&gt;"",E48&lt;=46104,F48&gt;=46098),'Task Assignment'!J47,"")</f>
        <v/>
      </c>
      <c r="J48" s="58" t="str">
        <f aca="false">IF(AND(E48&lt;&gt;"",F48&lt;&gt;"",E48&lt;=46111,F48&gt;=46105),'Task Assignment'!J47,"")</f>
        <v/>
      </c>
      <c r="K48" s="58" t="str">
        <f aca="false">IF(AND(E48&lt;&gt;"",F48&lt;&gt;"",E48&lt;=46118,F48&gt;=46112),'Task Assignment'!J47,"")</f>
        <v/>
      </c>
      <c r="L48" s="58" t="str">
        <f aca="false">IF(AND(E48&lt;&gt;"",F48&lt;&gt;"",E48&lt;=46125,F48&gt;=46119),'Task Assignment'!J47,"")</f>
        <v/>
      </c>
      <c r="M48" s="58" t="str">
        <f aca="false">IF(AND(E48&lt;&gt;"",F48&lt;&gt;"",E48&lt;=46132,F48&gt;=46126),'Task Assignment'!J47,"")</f>
        <v/>
      </c>
      <c r="N48" s="58" t="str">
        <f aca="false">IF(AND(E48&lt;&gt;"",F48&lt;&gt;"",E48&lt;=46139,F48&gt;=46133),'Task Assignment'!J47,"")</f>
        <v/>
      </c>
    </row>
    <row r="49" customFormat="false" ht="15" hidden="false" customHeight="false" outlineLevel="0" collapsed="false">
      <c r="A49" s="49" t="n">
        <f aca="false">'Task Assignment'!A48</f>
        <v>0</v>
      </c>
      <c r="B49" s="50" t="n">
        <f aca="false">'Task Assignment'!C48</f>
        <v>0</v>
      </c>
      <c r="C49" s="51" t="n">
        <f aca="false">'Task Assignment'!D48</f>
        <v>0</v>
      </c>
      <c r="D49" s="51" t="n">
        <f aca="false">'Task Assignment'!E48</f>
        <v>0</v>
      </c>
      <c r="E49" s="52" t="n">
        <f aca="false">'Task Assignment'!H48</f>
        <v>0</v>
      </c>
      <c r="F49" s="52" t="n">
        <f aca="false">'Task Assignment'!I48</f>
        <v>0</v>
      </c>
      <c r="G49" s="53" t="str">
        <f aca="false">IF(AND(E49&lt;&gt;"",F49&lt;&gt;"",E49&lt;=46090,F49&gt;=46084),'Task Assignment'!J48,"")</f>
        <v/>
      </c>
      <c r="H49" s="53" t="str">
        <f aca="false">IF(AND(E49&lt;&gt;"",F49&lt;&gt;"",E49&lt;=46097,F49&gt;=46091),'Task Assignment'!J48,"")</f>
        <v/>
      </c>
      <c r="I49" s="53" t="str">
        <f aca="false">IF(AND(E49&lt;&gt;"",F49&lt;&gt;"",E49&lt;=46104,F49&gt;=46098),'Task Assignment'!J48,"")</f>
        <v/>
      </c>
      <c r="J49" s="53" t="str">
        <f aca="false">IF(AND(E49&lt;&gt;"",F49&lt;&gt;"",E49&lt;=46111,F49&gt;=46105),'Task Assignment'!J48,"")</f>
        <v/>
      </c>
      <c r="K49" s="53" t="str">
        <f aca="false">IF(AND(E49&lt;&gt;"",F49&lt;&gt;"",E49&lt;=46118,F49&gt;=46112),'Task Assignment'!J48,"")</f>
        <v/>
      </c>
      <c r="L49" s="53" t="str">
        <f aca="false">IF(AND(E49&lt;&gt;"",F49&lt;&gt;"",E49&lt;=46125,F49&gt;=46119),'Task Assignment'!J48,"")</f>
        <v/>
      </c>
      <c r="M49" s="53" t="str">
        <f aca="false">IF(AND(E49&lt;&gt;"",F49&lt;&gt;"",E49&lt;=46132,F49&gt;=46126),'Task Assignment'!J48,"")</f>
        <v/>
      </c>
      <c r="N49" s="53" t="str">
        <f aca="false">IF(AND(E49&lt;&gt;"",F49&lt;&gt;"",E49&lt;=46139,F49&gt;=46133),'Task Assignment'!J48,"")</f>
        <v/>
      </c>
    </row>
    <row r="50" customFormat="false" ht="15" hidden="false" customHeight="false" outlineLevel="0" collapsed="false">
      <c r="A50" s="54" t="n">
        <f aca="false">'Task Assignment'!A49</f>
        <v>0</v>
      </c>
      <c r="B50" s="55" t="n">
        <f aca="false">'Task Assignment'!C49</f>
        <v>0</v>
      </c>
      <c r="C50" s="56" t="n">
        <f aca="false">'Task Assignment'!D49</f>
        <v>0</v>
      </c>
      <c r="D50" s="56" t="n">
        <f aca="false">'Task Assignment'!E49</f>
        <v>0</v>
      </c>
      <c r="E50" s="57" t="n">
        <f aca="false">'Task Assignment'!H49</f>
        <v>0</v>
      </c>
      <c r="F50" s="57" t="n">
        <f aca="false">'Task Assignment'!I49</f>
        <v>0</v>
      </c>
      <c r="G50" s="58" t="str">
        <f aca="false">IF(AND(E50&lt;&gt;"",F50&lt;&gt;"",E50&lt;=46090,F50&gt;=46084),'Task Assignment'!J49,"")</f>
        <v/>
      </c>
      <c r="H50" s="58" t="str">
        <f aca="false">IF(AND(E50&lt;&gt;"",F50&lt;&gt;"",E50&lt;=46097,F50&gt;=46091),'Task Assignment'!J49,"")</f>
        <v/>
      </c>
      <c r="I50" s="58" t="str">
        <f aca="false">IF(AND(E50&lt;&gt;"",F50&lt;&gt;"",E50&lt;=46104,F50&gt;=46098),'Task Assignment'!J49,"")</f>
        <v/>
      </c>
      <c r="J50" s="58" t="str">
        <f aca="false">IF(AND(E50&lt;&gt;"",F50&lt;&gt;"",E50&lt;=46111,F50&gt;=46105),'Task Assignment'!J49,"")</f>
        <v/>
      </c>
      <c r="K50" s="58" t="str">
        <f aca="false">IF(AND(E50&lt;&gt;"",F50&lt;&gt;"",E50&lt;=46118,F50&gt;=46112),'Task Assignment'!J49,"")</f>
        <v/>
      </c>
      <c r="L50" s="58" t="str">
        <f aca="false">IF(AND(E50&lt;&gt;"",F50&lt;&gt;"",E50&lt;=46125,F50&gt;=46119),'Task Assignment'!J49,"")</f>
        <v/>
      </c>
      <c r="M50" s="58" t="str">
        <f aca="false">IF(AND(E50&lt;&gt;"",F50&lt;&gt;"",E50&lt;=46132,F50&gt;=46126),'Task Assignment'!J49,"")</f>
        <v/>
      </c>
      <c r="N50" s="58" t="str">
        <f aca="false">IF(AND(E50&lt;&gt;"",F50&lt;&gt;"",E50&lt;=46139,F50&gt;=46133),'Task Assignment'!J49,"")</f>
        <v/>
      </c>
    </row>
    <row r="51" customFormat="false" ht="15" hidden="false" customHeight="false" outlineLevel="0" collapsed="false">
      <c r="A51" s="49" t="n">
        <f aca="false">'Task Assignment'!A50</f>
        <v>0</v>
      </c>
      <c r="B51" s="50" t="n">
        <f aca="false">'Task Assignment'!C50</f>
        <v>0</v>
      </c>
      <c r="C51" s="51" t="n">
        <f aca="false">'Task Assignment'!D50</f>
        <v>0</v>
      </c>
      <c r="D51" s="51" t="n">
        <f aca="false">'Task Assignment'!E50</f>
        <v>0</v>
      </c>
      <c r="E51" s="52" t="n">
        <f aca="false">'Task Assignment'!H50</f>
        <v>0</v>
      </c>
      <c r="F51" s="52" t="n">
        <f aca="false">'Task Assignment'!I50</f>
        <v>0</v>
      </c>
      <c r="G51" s="53" t="str">
        <f aca="false">IF(AND(E51&lt;&gt;"",F51&lt;&gt;"",E51&lt;=46090,F51&gt;=46084),'Task Assignment'!J50,"")</f>
        <v/>
      </c>
      <c r="H51" s="53" t="str">
        <f aca="false">IF(AND(E51&lt;&gt;"",F51&lt;&gt;"",E51&lt;=46097,F51&gt;=46091),'Task Assignment'!J50,"")</f>
        <v/>
      </c>
      <c r="I51" s="53" t="str">
        <f aca="false">IF(AND(E51&lt;&gt;"",F51&lt;&gt;"",E51&lt;=46104,F51&gt;=46098),'Task Assignment'!J50,"")</f>
        <v/>
      </c>
      <c r="J51" s="53" t="str">
        <f aca="false">IF(AND(E51&lt;&gt;"",F51&lt;&gt;"",E51&lt;=46111,F51&gt;=46105),'Task Assignment'!J50,"")</f>
        <v/>
      </c>
      <c r="K51" s="53" t="str">
        <f aca="false">IF(AND(E51&lt;&gt;"",F51&lt;&gt;"",E51&lt;=46118,F51&gt;=46112),'Task Assignment'!J50,"")</f>
        <v/>
      </c>
      <c r="L51" s="53" t="str">
        <f aca="false">IF(AND(E51&lt;&gt;"",F51&lt;&gt;"",E51&lt;=46125,F51&gt;=46119),'Task Assignment'!J50,"")</f>
        <v/>
      </c>
      <c r="M51" s="53" t="str">
        <f aca="false">IF(AND(E51&lt;&gt;"",F51&lt;&gt;"",E51&lt;=46132,F51&gt;=46126),'Task Assignment'!J50,"")</f>
        <v/>
      </c>
      <c r="N51" s="53" t="str">
        <f aca="false">IF(AND(E51&lt;&gt;"",F51&lt;&gt;"",E51&lt;=46139,F51&gt;=46133),'Task Assignment'!J50,"")</f>
        <v/>
      </c>
    </row>
    <row r="52" customFormat="false" ht="15" hidden="false" customHeight="false" outlineLevel="0" collapsed="false">
      <c r="A52" s="54" t="n">
        <f aca="false">'Task Assignment'!A51</f>
        <v>0</v>
      </c>
      <c r="B52" s="55" t="n">
        <f aca="false">'Task Assignment'!C51</f>
        <v>0</v>
      </c>
      <c r="C52" s="56" t="n">
        <f aca="false">'Task Assignment'!D51</f>
        <v>0</v>
      </c>
      <c r="D52" s="56" t="n">
        <f aca="false">'Task Assignment'!E51</f>
        <v>0</v>
      </c>
      <c r="E52" s="57" t="n">
        <f aca="false">'Task Assignment'!H51</f>
        <v>0</v>
      </c>
      <c r="F52" s="57" t="n">
        <f aca="false">'Task Assignment'!I51</f>
        <v>0</v>
      </c>
      <c r="G52" s="58" t="str">
        <f aca="false">IF(AND(E52&lt;&gt;"",F52&lt;&gt;"",E52&lt;=46090,F52&gt;=46084),'Task Assignment'!J51,"")</f>
        <v/>
      </c>
      <c r="H52" s="58" t="str">
        <f aca="false">IF(AND(E52&lt;&gt;"",F52&lt;&gt;"",E52&lt;=46097,F52&gt;=46091),'Task Assignment'!J51,"")</f>
        <v/>
      </c>
      <c r="I52" s="58" t="str">
        <f aca="false">IF(AND(E52&lt;&gt;"",F52&lt;&gt;"",E52&lt;=46104,F52&gt;=46098),'Task Assignment'!J51,"")</f>
        <v/>
      </c>
      <c r="J52" s="58" t="str">
        <f aca="false">IF(AND(E52&lt;&gt;"",F52&lt;&gt;"",E52&lt;=46111,F52&gt;=46105),'Task Assignment'!J51,"")</f>
        <v/>
      </c>
      <c r="K52" s="58" t="str">
        <f aca="false">IF(AND(E52&lt;&gt;"",F52&lt;&gt;"",E52&lt;=46118,F52&gt;=46112),'Task Assignment'!J51,"")</f>
        <v/>
      </c>
      <c r="L52" s="58" t="str">
        <f aca="false">IF(AND(E52&lt;&gt;"",F52&lt;&gt;"",E52&lt;=46125,F52&gt;=46119),'Task Assignment'!J51,"")</f>
        <v/>
      </c>
      <c r="M52" s="58" t="str">
        <f aca="false">IF(AND(E52&lt;&gt;"",F52&lt;&gt;"",E52&lt;=46132,F52&gt;=46126),'Task Assignment'!J51,"")</f>
        <v/>
      </c>
      <c r="N52" s="58" t="str">
        <f aca="false">IF(AND(E52&lt;&gt;"",F52&lt;&gt;"",E52&lt;=46139,F52&gt;=46133),'Task Assignment'!J51,"")</f>
        <v/>
      </c>
    </row>
    <row r="53" customFormat="false" ht="15" hidden="false" customHeight="false" outlineLevel="0" collapsed="false">
      <c r="A53" s="49" t="n">
        <f aca="false">'Task Assignment'!A52</f>
        <v>0</v>
      </c>
      <c r="B53" s="50" t="n">
        <f aca="false">'Task Assignment'!C52</f>
        <v>0</v>
      </c>
      <c r="C53" s="51" t="n">
        <f aca="false">'Task Assignment'!D52</f>
        <v>0</v>
      </c>
      <c r="D53" s="51" t="n">
        <f aca="false">'Task Assignment'!E52</f>
        <v>0</v>
      </c>
      <c r="E53" s="52" t="n">
        <f aca="false">'Task Assignment'!H52</f>
        <v>0</v>
      </c>
      <c r="F53" s="52" t="n">
        <f aca="false">'Task Assignment'!I52</f>
        <v>0</v>
      </c>
      <c r="G53" s="53" t="str">
        <f aca="false">IF(AND(E53&lt;&gt;"",F53&lt;&gt;"",E53&lt;=46090,F53&gt;=46084),'Task Assignment'!J52,"")</f>
        <v/>
      </c>
      <c r="H53" s="53" t="str">
        <f aca="false">IF(AND(E53&lt;&gt;"",F53&lt;&gt;"",E53&lt;=46097,F53&gt;=46091),'Task Assignment'!J52,"")</f>
        <v/>
      </c>
      <c r="I53" s="53" t="str">
        <f aca="false">IF(AND(E53&lt;&gt;"",F53&lt;&gt;"",E53&lt;=46104,F53&gt;=46098),'Task Assignment'!J52,"")</f>
        <v/>
      </c>
      <c r="J53" s="53" t="str">
        <f aca="false">IF(AND(E53&lt;&gt;"",F53&lt;&gt;"",E53&lt;=46111,F53&gt;=46105),'Task Assignment'!J52,"")</f>
        <v/>
      </c>
      <c r="K53" s="53" t="str">
        <f aca="false">IF(AND(E53&lt;&gt;"",F53&lt;&gt;"",E53&lt;=46118,F53&gt;=46112),'Task Assignment'!J52,"")</f>
        <v/>
      </c>
      <c r="L53" s="53" t="str">
        <f aca="false">IF(AND(E53&lt;&gt;"",F53&lt;&gt;"",E53&lt;=46125,F53&gt;=46119),'Task Assignment'!J52,"")</f>
        <v/>
      </c>
      <c r="M53" s="53" t="str">
        <f aca="false">IF(AND(E53&lt;&gt;"",F53&lt;&gt;"",E53&lt;=46132,F53&gt;=46126),'Task Assignment'!J52,"")</f>
        <v/>
      </c>
      <c r="N53" s="53" t="str">
        <f aca="false">IF(AND(E53&lt;&gt;"",F53&lt;&gt;"",E53&lt;=46139,F53&gt;=46133),'Task Assignment'!J52,"")</f>
        <v/>
      </c>
    </row>
    <row r="54" customFormat="false" ht="15" hidden="false" customHeight="false" outlineLevel="0" collapsed="false">
      <c r="A54" s="54" t="n">
        <f aca="false">'Task Assignment'!A53</f>
        <v>0</v>
      </c>
      <c r="B54" s="55" t="n">
        <f aca="false">'Task Assignment'!C53</f>
        <v>0</v>
      </c>
      <c r="C54" s="56" t="n">
        <f aca="false">'Task Assignment'!D53</f>
        <v>0</v>
      </c>
      <c r="D54" s="56" t="n">
        <f aca="false">'Task Assignment'!E53</f>
        <v>0</v>
      </c>
      <c r="E54" s="57" t="n">
        <f aca="false">'Task Assignment'!H53</f>
        <v>0</v>
      </c>
      <c r="F54" s="57" t="n">
        <f aca="false">'Task Assignment'!I53</f>
        <v>0</v>
      </c>
      <c r="G54" s="58" t="str">
        <f aca="false">IF(AND(E54&lt;&gt;"",F54&lt;&gt;"",E54&lt;=46090,F54&gt;=46084),'Task Assignment'!J53,"")</f>
        <v/>
      </c>
      <c r="H54" s="58" t="str">
        <f aca="false">IF(AND(E54&lt;&gt;"",F54&lt;&gt;"",E54&lt;=46097,F54&gt;=46091),'Task Assignment'!J53,"")</f>
        <v/>
      </c>
      <c r="I54" s="58" t="str">
        <f aca="false">IF(AND(E54&lt;&gt;"",F54&lt;&gt;"",E54&lt;=46104,F54&gt;=46098),'Task Assignment'!J53,"")</f>
        <v/>
      </c>
      <c r="J54" s="58" t="str">
        <f aca="false">IF(AND(E54&lt;&gt;"",F54&lt;&gt;"",E54&lt;=46111,F54&gt;=46105),'Task Assignment'!J53,"")</f>
        <v/>
      </c>
      <c r="K54" s="58" t="str">
        <f aca="false">IF(AND(E54&lt;&gt;"",F54&lt;&gt;"",E54&lt;=46118,F54&gt;=46112),'Task Assignment'!J53,"")</f>
        <v/>
      </c>
      <c r="L54" s="58" t="str">
        <f aca="false">IF(AND(E54&lt;&gt;"",F54&lt;&gt;"",E54&lt;=46125,F54&gt;=46119),'Task Assignment'!J53,"")</f>
        <v/>
      </c>
      <c r="M54" s="58" t="str">
        <f aca="false">IF(AND(E54&lt;&gt;"",F54&lt;&gt;"",E54&lt;=46132,F54&gt;=46126),'Task Assignment'!J53,"")</f>
        <v/>
      </c>
      <c r="N54" s="58" t="str">
        <f aca="false">IF(AND(E54&lt;&gt;"",F54&lt;&gt;"",E54&lt;=46139,F54&gt;=46133),'Task Assignment'!J53,"")</f>
        <v/>
      </c>
    </row>
    <row r="55" customFormat="false" ht="15" hidden="false" customHeight="false" outlineLevel="0" collapsed="false">
      <c r="A55" s="49" t="n">
        <f aca="false">'Task Assignment'!A54</f>
        <v>0</v>
      </c>
      <c r="B55" s="50" t="n">
        <f aca="false">'Task Assignment'!C54</f>
        <v>0</v>
      </c>
      <c r="C55" s="51" t="n">
        <f aca="false">'Task Assignment'!D54</f>
        <v>0</v>
      </c>
      <c r="D55" s="51" t="n">
        <f aca="false">'Task Assignment'!E54</f>
        <v>0</v>
      </c>
      <c r="E55" s="52" t="n">
        <f aca="false">'Task Assignment'!H54</f>
        <v>0</v>
      </c>
      <c r="F55" s="52" t="n">
        <f aca="false">'Task Assignment'!I54</f>
        <v>0</v>
      </c>
      <c r="G55" s="53" t="str">
        <f aca="false">IF(AND(E55&lt;&gt;"",F55&lt;&gt;"",E55&lt;=46090,F55&gt;=46084),'Task Assignment'!J54,"")</f>
        <v/>
      </c>
      <c r="H55" s="53" t="str">
        <f aca="false">IF(AND(E55&lt;&gt;"",F55&lt;&gt;"",E55&lt;=46097,F55&gt;=46091),'Task Assignment'!J54,"")</f>
        <v/>
      </c>
      <c r="I55" s="53" t="str">
        <f aca="false">IF(AND(E55&lt;&gt;"",F55&lt;&gt;"",E55&lt;=46104,F55&gt;=46098),'Task Assignment'!J54,"")</f>
        <v/>
      </c>
      <c r="J55" s="53" t="str">
        <f aca="false">IF(AND(E55&lt;&gt;"",F55&lt;&gt;"",E55&lt;=46111,F55&gt;=46105),'Task Assignment'!J54,"")</f>
        <v/>
      </c>
      <c r="K55" s="53" t="str">
        <f aca="false">IF(AND(E55&lt;&gt;"",F55&lt;&gt;"",E55&lt;=46118,F55&gt;=46112),'Task Assignment'!J54,"")</f>
        <v/>
      </c>
      <c r="L55" s="53" t="str">
        <f aca="false">IF(AND(E55&lt;&gt;"",F55&lt;&gt;"",E55&lt;=46125,F55&gt;=46119),'Task Assignment'!J54,"")</f>
        <v/>
      </c>
      <c r="M55" s="53" t="str">
        <f aca="false">IF(AND(E55&lt;&gt;"",F55&lt;&gt;"",E55&lt;=46132,F55&gt;=46126),'Task Assignment'!J54,"")</f>
        <v/>
      </c>
      <c r="N55" s="53" t="str">
        <f aca="false">IF(AND(E55&lt;&gt;"",F55&lt;&gt;"",E55&lt;=46139,F55&gt;=46133),'Task Assignment'!J54,"")</f>
        <v/>
      </c>
    </row>
    <row r="56" customFormat="false" ht="15" hidden="false" customHeight="false" outlineLevel="0" collapsed="false">
      <c r="A56" s="54" t="n">
        <f aca="false">'Task Assignment'!A55</f>
        <v>0</v>
      </c>
      <c r="B56" s="55" t="n">
        <f aca="false">'Task Assignment'!C55</f>
        <v>0</v>
      </c>
      <c r="C56" s="56" t="n">
        <f aca="false">'Task Assignment'!D55</f>
        <v>0</v>
      </c>
      <c r="D56" s="56" t="n">
        <f aca="false">'Task Assignment'!E55</f>
        <v>0</v>
      </c>
      <c r="E56" s="57" t="n">
        <f aca="false">'Task Assignment'!H55</f>
        <v>0</v>
      </c>
      <c r="F56" s="57" t="n">
        <f aca="false">'Task Assignment'!I55</f>
        <v>0</v>
      </c>
      <c r="G56" s="58" t="str">
        <f aca="false">IF(AND(E56&lt;&gt;"",F56&lt;&gt;"",E56&lt;=46090,F56&gt;=46084),'Task Assignment'!J55,"")</f>
        <v/>
      </c>
      <c r="H56" s="58" t="str">
        <f aca="false">IF(AND(E56&lt;&gt;"",F56&lt;&gt;"",E56&lt;=46097,F56&gt;=46091),'Task Assignment'!J55,"")</f>
        <v/>
      </c>
      <c r="I56" s="58" t="str">
        <f aca="false">IF(AND(E56&lt;&gt;"",F56&lt;&gt;"",E56&lt;=46104,F56&gt;=46098),'Task Assignment'!J55,"")</f>
        <v/>
      </c>
      <c r="J56" s="58" t="str">
        <f aca="false">IF(AND(E56&lt;&gt;"",F56&lt;&gt;"",E56&lt;=46111,F56&gt;=46105),'Task Assignment'!J55,"")</f>
        <v/>
      </c>
      <c r="K56" s="58" t="str">
        <f aca="false">IF(AND(E56&lt;&gt;"",F56&lt;&gt;"",E56&lt;=46118,F56&gt;=46112),'Task Assignment'!J55,"")</f>
        <v/>
      </c>
      <c r="L56" s="58" t="str">
        <f aca="false">IF(AND(E56&lt;&gt;"",F56&lt;&gt;"",E56&lt;=46125,F56&gt;=46119),'Task Assignment'!J55,"")</f>
        <v/>
      </c>
      <c r="M56" s="58" t="str">
        <f aca="false">IF(AND(E56&lt;&gt;"",F56&lt;&gt;"",E56&lt;=46132,F56&gt;=46126),'Task Assignment'!J55,"")</f>
        <v/>
      </c>
      <c r="N56" s="58" t="str">
        <f aca="false">IF(AND(E56&lt;&gt;"",F56&lt;&gt;"",E56&lt;=46139,F56&gt;=46133),'Task Assignment'!J55,"")</f>
        <v/>
      </c>
    </row>
    <row r="57" customFormat="false" ht="15" hidden="false" customHeight="false" outlineLevel="0" collapsed="false">
      <c r="A57" s="49" t="n">
        <f aca="false">'Task Assignment'!A56</f>
        <v>0</v>
      </c>
      <c r="B57" s="50" t="n">
        <f aca="false">'Task Assignment'!C56</f>
        <v>0</v>
      </c>
      <c r="C57" s="51" t="n">
        <f aca="false">'Task Assignment'!D56</f>
        <v>0</v>
      </c>
      <c r="D57" s="51" t="n">
        <f aca="false">'Task Assignment'!E56</f>
        <v>0</v>
      </c>
      <c r="E57" s="52" t="n">
        <f aca="false">'Task Assignment'!H56</f>
        <v>0</v>
      </c>
      <c r="F57" s="52" t="n">
        <f aca="false">'Task Assignment'!I56</f>
        <v>0</v>
      </c>
      <c r="G57" s="53" t="str">
        <f aca="false">IF(AND(E57&lt;&gt;"",F57&lt;&gt;"",E57&lt;=46090,F57&gt;=46084),'Task Assignment'!J56,"")</f>
        <v/>
      </c>
      <c r="H57" s="53" t="str">
        <f aca="false">IF(AND(E57&lt;&gt;"",F57&lt;&gt;"",E57&lt;=46097,F57&gt;=46091),'Task Assignment'!J56,"")</f>
        <v/>
      </c>
      <c r="I57" s="53" t="str">
        <f aca="false">IF(AND(E57&lt;&gt;"",F57&lt;&gt;"",E57&lt;=46104,F57&gt;=46098),'Task Assignment'!J56,"")</f>
        <v/>
      </c>
      <c r="J57" s="53" t="str">
        <f aca="false">IF(AND(E57&lt;&gt;"",F57&lt;&gt;"",E57&lt;=46111,F57&gt;=46105),'Task Assignment'!J56,"")</f>
        <v/>
      </c>
      <c r="K57" s="53" t="str">
        <f aca="false">IF(AND(E57&lt;&gt;"",F57&lt;&gt;"",E57&lt;=46118,F57&gt;=46112),'Task Assignment'!J56,"")</f>
        <v/>
      </c>
      <c r="L57" s="53" t="str">
        <f aca="false">IF(AND(E57&lt;&gt;"",F57&lt;&gt;"",E57&lt;=46125,F57&gt;=46119),'Task Assignment'!J56,"")</f>
        <v/>
      </c>
      <c r="M57" s="53" t="str">
        <f aca="false">IF(AND(E57&lt;&gt;"",F57&lt;&gt;"",E57&lt;=46132,F57&gt;=46126),'Task Assignment'!J56,"")</f>
        <v/>
      </c>
      <c r="N57" s="53" t="str">
        <f aca="false">IF(AND(E57&lt;&gt;"",F57&lt;&gt;"",E57&lt;=46139,F57&gt;=46133),'Task Assignment'!J56,"")</f>
        <v/>
      </c>
    </row>
    <row r="58" customFormat="false" ht="15" hidden="false" customHeight="false" outlineLevel="0" collapsed="false">
      <c r="A58" s="54" t="n">
        <f aca="false">'Task Assignment'!A57</f>
        <v>0</v>
      </c>
      <c r="B58" s="55" t="n">
        <f aca="false">'Task Assignment'!C57</f>
        <v>0</v>
      </c>
      <c r="C58" s="56" t="n">
        <f aca="false">'Task Assignment'!D57</f>
        <v>0</v>
      </c>
      <c r="D58" s="56" t="n">
        <f aca="false">'Task Assignment'!E57</f>
        <v>0</v>
      </c>
      <c r="E58" s="57" t="n">
        <f aca="false">'Task Assignment'!H57</f>
        <v>0</v>
      </c>
      <c r="F58" s="57" t="n">
        <f aca="false">'Task Assignment'!I57</f>
        <v>0</v>
      </c>
      <c r="G58" s="58" t="str">
        <f aca="false">IF(AND(E58&lt;&gt;"",F58&lt;&gt;"",E58&lt;=46090,F58&gt;=46084),'Task Assignment'!J57,"")</f>
        <v/>
      </c>
      <c r="H58" s="58" t="str">
        <f aca="false">IF(AND(E58&lt;&gt;"",F58&lt;&gt;"",E58&lt;=46097,F58&gt;=46091),'Task Assignment'!J57,"")</f>
        <v/>
      </c>
      <c r="I58" s="58" t="str">
        <f aca="false">IF(AND(E58&lt;&gt;"",F58&lt;&gt;"",E58&lt;=46104,F58&gt;=46098),'Task Assignment'!J57,"")</f>
        <v/>
      </c>
      <c r="J58" s="58" t="str">
        <f aca="false">IF(AND(E58&lt;&gt;"",F58&lt;&gt;"",E58&lt;=46111,F58&gt;=46105),'Task Assignment'!J57,"")</f>
        <v/>
      </c>
      <c r="K58" s="58" t="str">
        <f aca="false">IF(AND(E58&lt;&gt;"",F58&lt;&gt;"",E58&lt;=46118,F58&gt;=46112),'Task Assignment'!J57,"")</f>
        <v/>
      </c>
      <c r="L58" s="58" t="str">
        <f aca="false">IF(AND(E58&lt;&gt;"",F58&lt;&gt;"",E58&lt;=46125,F58&gt;=46119),'Task Assignment'!J57,"")</f>
        <v/>
      </c>
      <c r="M58" s="58" t="str">
        <f aca="false">IF(AND(E58&lt;&gt;"",F58&lt;&gt;"",E58&lt;=46132,F58&gt;=46126),'Task Assignment'!J57,"")</f>
        <v/>
      </c>
      <c r="N58" s="58" t="str">
        <f aca="false">IF(AND(E58&lt;&gt;"",F58&lt;&gt;"",E58&lt;=46139,F58&gt;=46133),'Task Assignment'!J57,"")</f>
        <v/>
      </c>
    </row>
    <row r="59" customFormat="false" ht="15" hidden="false" customHeight="false" outlineLevel="0" collapsed="false">
      <c r="A59" s="49" t="n">
        <f aca="false">'Task Assignment'!A58</f>
        <v>0</v>
      </c>
      <c r="B59" s="50" t="n">
        <f aca="false">'Task Assignment'!C58</f>
        <v>0</v>
      </c>
      <c r="C59" s="51" t="n">
        <f aca="false">'Task Assignment'!D58</f>
        <v>0</v>
      </c>
      <c r="D59" s="51" t="n">
        <f aca="false">'Task Assignment'!E58</f>
        <v>0</v>
      </c>
      <c r="E59" s="52" t="n">
        <f aca="false">'Task Assignment'!H58</f>
        <v>0</v>
      </c>
      <c r="F59" s="52" t="n">
        <f aca="false">'Task Assignment'!I58</f>
        <v>0</v>
      </c>
      <c r="G59" s="53" t="str">
        <f aca="false">IF(AND(E59&lt;&gt;"",F59&lt;&gt;"",E59&lt;=46090,F59&gt;=46084),'Task Assignment'!J58,"")</f>
        <v/>
      </c>
      <c r="H59" s="53" t="str">
        <f aca="false">IF(AND(E59&lt;&gt;"",F59&lt;&gt;"",E59&lt;=46097,F59&gt;=46091),'Task Assignment'!J58,"")</f>
        <v/>
      </c>
      <c r="I59" s="53" t="str">
        <f aca="false">IF(AND(E59&lt;&gt;"",F59&lt;&gt;"",E59&lt;=46104,F59&gt;=46098),'Task Assignment'!J58,"")</f>
        <v/>
      </c>
      <c r="J59" s="53" t="str">
        <f aca="false">IF(AND(E59&lt;&gt;"",F59&lt;&gt;"",E59&lt;=46111,F59&gt;=46105),'Task Assignment'!J58,"")</f>
        <v/>
      </c>
      <c r="K59" s="53" t="str">
        <f aca="false">IF(AND(E59&lt;&gt;"",F59&lt;&gt;"",E59&lt;=46118,F59&gt;=46112),'Task Assignment'!J58,"")</f>
        <v/>
      </c>
      <c r="L59" s="53" t="str">
        <f aca="false">IF(AND(E59&lt;&gt;"",F59&lt;&gt;"",E59&lt;=46125,F59&gt;=46119),'Task Assignment'!J58,"")</f>
        <v/>
      </c>
      <c r="M59" s="53" t="str">
        <f aca="false">IF(AND(E59&lt;&gt;"",F59&lt;&gt;"",E59&lt;=46132,F59&gt;=46126),'Task Assignment'!J58,"")</f>
        <v/>
      </c>
      <c r="N59" s="53" t="str">
        <f aca="false">IF(AND(E59&lt;&gt;"",F59&lt;&gt;"",E59&lt;=46139,F59&gt;=46133),'Task Assignment'!J58,"")</f>
        <v/>
      </c>
    </row>
    <row r="60" customFormat="false" ht="15" hidden="false" customHeight="false" outlineLevel="0" collapsed="false">
      <c r="A60" s="54" t="n">
        <f aca="false">'Task Assignment'!A59</f>
        <v>0</v>
      </c>
      <c r="B60" s="55" t="n">
        <f aca="false">'Task Assignment'!C59</f>
        <v>0</v>
      </c>
      <c r="C60" s="56" t="n">
        <f aca="false">'Task Assignment'!D59</f>
        <v>0</v>
      </c>
      <c r="D60" s="56" t="n">
        <f aca="false">'Task Assignment'!E59</f>
        <v>0</v>
      </c>
      <c r="E60" s="57" t="n">
        <f aca="false">'Task Assignment'!H59</f>
        <v>0</v>
      </c>
      <c r="F60" s="57" t="n">
        <f aca="false">'Task Assignment'!I59</f>
        <v>0</v>
      </c>
      <c r="G60" s="58" t="str">
        <f aca="false">IF(AND(E60&lt;&gt;"",F60&lt;&gt;"",E60&lt;=46090,F60&gt;=46084),'Task Assignment'!J59,"")</f>
        <v/>
      </c>
      <c r="H60" s="58" t="str">
        <f aca="false">IF(AND(E60&lt;&gt;"",F60&lt;&gt;"",E60&lt;=46097,F60&gt;=46091),'Task Assignment'!J59,"")</f>
        <v/>
      </c>
      <c r="I60" s="58" t="str">
        <f aca="false">IF(AND(E60&lt;&gt;"",F60&lt;&gt;"",E60&lt;=46104,F60&gt;=46098),'Task Assignment'!J59,"")</f>
        <v/>
      </c>
      <c r="J60" s="58" t="str">
        <f aca="false">IF(AND(E60&lt;&gt;"",F60&lt;&gt;"",E60&lt;=46111,F60&gt;=46105),'Task Assignment'!J59,"")</f>
        <v/>
      </c>
      <c r="K60" s="58" t="str">
        <f aca="false">IF(AND(E60&lt;&gt;"",F60&lt;&gt;"",E60&lt;=46118,F60&gt;=46112),'Task Assignment'!J59,"")</f>
        <v/>
      </c>
      <c r="L60" s="58" t="str">
        <f aca="false">IF(AND(E60&lt;&gt;"",F60&lt;&gt;"",E60&lt;=46125,F60&gt;=46119),'Task Assignment'!J59,"")</f>
        <v/>
      </c>
      <c r="M60" s="58" t="str">
        <f aca="false">IF(AND(E60&lt;&gt;"",F60&lt;&gt;"",E60&lt;=46132,F60&gt;=46126),'Task Assignment'!J59,"")</f>
        <v/>
      </c>
      <c r="N60" s="58" t="str">
        <f aca="false">IF(AND(E60&lt;&gt;"",F60&lt;&gt;"",E60&lt;=46139,F60&gt;=46133),'Task Assignment'!J59,"")</f>
        <v/>
      </c>
    </row>
    <row r="61" customFormat="false" ht="15" hidden="false" customHeight="false" outlineLevel="0" collapsed="false">
      <c r="A61" s="49" t="n">
        <f aca="false">'Task Assignment'!A60</f>
        <v>0</v>
      </c>
      <c r="B61" s="50" t="n">
        <f aca="false">'Task Assignment'!C60</f>
        <v>0</v>
      </c>
      <c r="C61" s="51" t="n">
        <f aca="false">'Task Assignment'!D60</f>
        <v>0</v>
      </c>
      <c r="D61" s="51" t="n">
        <f aca="false">'Task Assignment'!E60</f>
        <v>0</v>
      </c>
      <c r="E61" s="52" t="n">
        <f aca="false">'Task Assignment'!H60</f>
        <v>0</v>
      </c>
      <c r="F61" s="52" t="n">
        <f aca="false">'Task Assignment'!I60</f>
        <v>0</v>
      </c>
      <c r="G61" s="53" t="str">
        <f aca="false">IF(AND(E61&lt;&gt;"",F61&lt;&gt;"",E61&lt;=46090,F61&gt;=46084),'Task Assignment'!J60,"")</f>
        <v/>
      </c>
      <c r="H61" s="53" t="str">
        <f aca="false">IF(AND(E61&lt;&gt;"",F61&lt;&gt;"",E61&lt;=46097,F61&gt;=46091),'Task Assignment'!J60,"")</f>
        <v/>
      </c>
      <c r="I61" s="53" t="str">
        <f aca="false">IF(AND(E61&lt;&gt;"",F61&lt;&gt;"",E61&lt;=46104,F61&gt;=46098),'Task Assignment'!J60,"")</f>
        <v/>
      </c>
      <c r="J61" s="53" t="str">
        <f aca="false">IF(AND(E61&lt;&gt;"",F61&lt;&gt;"",E61&lt;=46111,F61&gt;=46105),'Task Assignment'!J60,"")</f>
        <v/>
      </c>
      <c r="K61" s="53" t="str">
        <f aca="false">IF(AND(E61&lt;&gt;"",F61&lt;&gt;"",E61&lt;=46118,F61&gt;=46112),'Task Assignment'!J60,"")</f>
        <v/>
      </c>
      <c r="L61" s="53" t="str">
        <f aca="false">IF(AND(E61&lt;&gt;"",F61&lt;&gt;"",E61&lt;=46125,F61&gt;=46119),'Task Assignment'!J60,"")</f>
        <v/>
      </c>
      <c r="M61" s="53" t="str">
        <f aca="false">IF(AND(E61&lt;&gt;"",F61&lt;&gt;"",E61&lt;=46132,F61&gt;=46126),'Task Assignment'!J60,"")</f>
        <v/>
      </c>
      <c r="N61" s="53" t="str">
        <f aca="false">IF(AND(E61&lt;&gt;"",F61&lt;&gt;"",E61&lt;=46139,F61&gt;=46133),'Task Assignment'!J60,"")</f>
        <v/>
      </c>
    </row>
    <row r="62" customFormat="false" ht="15" hidden="false" customHeight="false" outlineLevel="0" collapsed="false">
      <c r="A62" s="54" t="n">
        <f aca="false">'Task Assignment'!A61</f>
        <v>0</v>
      </c>
      <c r="B62" s="55" t="n">
        <f aca="false">'Task Assignment'!C61</f>
        <v>0</v>
      </c>
      <c r="C62" s="56" t="n">
        <f aca="false">'Task Assignment'!D61</f>
        <v>0</v>
      </c>
      <c r="D62" s="56" t="n">
        <f aca="false">'Task Assignment'!E61</f>
        <v>0</v>
      </c>
      <c r="E62" s="57" t="n">
        <f aca="false">'Task Assignment'!H61</f>
        <v>0</v>
      </c>
      <c r="F62" s="57" t="n">
        <f aca="false">'Task Assignment'!I61</f>
        <v>0</v>
      </c>
      <c r="G62" s="58" t="str">
        <f aca="false">IF(AND(E62&lt;&gt;"",F62&lt;&gt;"",E62&lt;=46090,F62&gt;=46084),'Task Assignment'!J61,"")</f>
        <v/>
      </c>
      <c r="H62" s="58" t="str">
        <f aca="false">IF(AND(E62&lt;&gt;"",F62&lt;&gt;"",E62&lt;=46097,F62&gt;=46091),'Task Assignment'!J61,"")</f>
        <v/>
      </c>
      <c r="I62" s="58" t="str">
        <f aca="false">IF(AND(E62&lt;&gt;"",F62&lt;&gt;"",E62&lt;=46104,F62&gt;=46098),'Task Assignment'!J61,"")</f>
        <v/>
      </c>
      <c r="J62" s="58" t="str">
        <f aca="false">IF(AND(E62&lt;&gt;"",F62&lt;&gt;"",E62&lt;=46111,F62&gt;=46105),'Task Assignment'!J61,"")</f>
        <v/>
      </c>
      <c r="K62" s="58" t="str">
        <f aca="false">IF(AND(E62&lt;&gt;"",F62&lt;&gt;"",E62&lt;=46118,F62&gt;=46112),'Task Assignment'!J61,"")</f>
        <v/>
      </c>
      <c r="L62" s="58" t="str">
        <f aca="false">IF(AND(E62&lt;&gt;"",F62&lt;&gt;"",E62&lt;=46125,F62&gt;=46119),'Task Assignment'!J61,"")</f>
        <v/>
      </c>
      <c r="M62" s="58" t="str">
        <f aca="false">IF(AND(E62&lt;&gt;"",F62&lt;&gt;"",E62&lt;=46132,F62&gt;=46126),'Task Assignment'!J61,"")</f>
        <v/>
      </c>
      <c r="N62" s="58" t="str">
        <f aca="false">IF(AND(E62&lt;&gt;"",F62&lt;&gt;"",E62&lt;=46139,F62&gt;=46133),'Task Assignment'!J61,"")</f>
        <v/>
      </c>
    </row>
    <row r="63" customFormat="false" ht="15" hidden="false" customHeight="false" outlineLevel="0" collapsed="false">
      <c r="A63" s="49" t="n">
        <f aca="false">'Task Assignment'!A62</f>
        <v>0</v>
      </c>
      <c r="B63" s="50" t="n">
        <f aca="false">'Task Assignment'!C62</f>
        <v>0</v>
      </c>
      <c r="C63" s="51" t="n">
        <f aca="false">'Task Assignment'!D62</f>
        <v>0</v>
      </c>
      <c r="D63" s="51" t="n">
        <f aca="false">'Task Assignment'!E62</f>
        <v>0</v>
      </c>
      <c r="E63" s="52" t="n">
        <f aca="false">'Task Assignment'!H62</f>
        <v>0</v>
      </c>
      <c r="F63" s="52" t="n">
        <f aca="false">'Task Assignment'!I62</f>
        <v>0</v>
      </c>
      <c r="G63" s="53" t="str">
        <f aca="false">IF(AND(E63&lt;&gt;"",F63&lt;&gt;"",E63&lt;=46090,F63&gt;=46084),'Task Assignment'!J62,"")</f>
        <v/>
      </c>
      <c r="H63" s="53" t="str">
        <f aca="false">IF(AND(E63&lt;&gt;"",F63&lt;&gt;"",E63&lt;=46097,F63&gt;=46091),'Task Assignment'!J62,"")</f>
        <v/>
      </c>
      <c r="I63" s="53" t="str">
        <f aca="false">IF(AND(E63&lt;&gt;"",F63&lt;&gt;"",E63&lt;=46104,F63&gt;=46098),'Task Assignment'!J62,"")</f>
        <v/>
      </c>
      <c r="J63" s="53" t="str">
        <f aca="false">IF(AND(E63&lt;&gt;"",F63&lt;&gt;"",E63&lt;=46111,F63&gt;=46105),'Task Assignment'!J62,"")</f>
        <v/>
      </c>
      <c r="K63" s="53" t="str">
        <f aca="false">IF(AND(E63&lt;&gt;"",F63&lt;&gt;"",E63&lt;=46118,F63&gt;=46112),'Task Assignment'!J62,"")</f>
        <v/>
      </c>
      <c r="L63" s="53" t="str">
        <f aca="false">IF(AND(E63&lt;&gt;"",F63&lt;&gt;"",E63&lt;=46125,F63&gt;=46119),'Task Assignment'!J62,"")</f>
        <v/>
      </c>
      <c r="M63" s="53" t="str">
        <f aca="false">IF(AND(E63&lt;&gt;"",F63&lt;&gt;"",E63&lt;=46132,F63&gt;=46126),'Task Assignment'!J62,"")</f>
        <v/>
      </c>
      <c r="N63" s="53" t="str">
        <f aca="false">IF(AND(E63&lt;&gt;"",F63&lt;&gt;"",E63&lt;=46139,F63&gt;=46133),'Task Assignment'!J62,"")</f>
        <v/>
      </c>
    </row>
    <row r="64" customFormat="false" ht="15" hidden="false" customHeight="false" outlineLevel="0" collapsed="false">
      <c r="A64" s="54" t="n">
        <f aca="false">'Task Assignment'!A63</f>
        <v>0</v>
      </c>
      <c r="B64" s="55" t="n">
        <f aca="false">'Task Assignment'!C63</f>
        <v>0</v>
      </c>
      <c r="C64" s="56" t="n">
        <f aca="false">'Task Assignment'!D63</f>
        <v>0</v>
      </c>
      <c r="D64" s="56" t="n">
        <f aca="false">'Task Assignment'!E63</f>
        <v>0</v>
      </c>
      <c r="E64" s="57" t="n">
        <f aca="false">'Task Assignment'!H63</f>
        <v>0</v>
      </c>
      <c r="F64" s="57" t="n">
        <f aca="false">'Task Assignment'!I63</f>
        <v>0</v>
      </c>
      <c r="G64" s="58" t="str">
        <f aca="false">IF(AND(E64&lt;&gt;"",F64&lt;&gt;"",E64&lt;=46090,F64&gt;=46084),'Task Assignment'!J63,"")</f>
        <v/>
      </c>
      <c r="H64" s="58" t="str">
        <f aca="false">IF(AND(E64&lt;&gt;"",F64&lt;&gt;"",E64&lt;=46097,F64&gt;=46091),'Task Assignment'!J63,"")</f>
        <v/>
      </c>
      <c r="I64" s="58" t="str">
        <f aca="false">IF(AND(E64&lt;&gt;"",F64&lt;&gt;"",E64&lt;=46104,F64&gt;=46098),'Task Assignment'!J63,"")</f>
        <v/>
      </c>
      <c r="J64" s="58" t="str">
        <f aca="false">IF(AND(E64&lt;&gt;"",F64&lt;&gt;"",E64&lt;=46111,F64&gt;=46105),'Task Assignment'!J63,"")</f>
        <v/>
      </c>
      <c r="K64" s="58" t="str">
        <f aca="false">IF(AND(E64&lt;&gt;"",F64&lt;&gt;"",E64&lt;=46118,F64&gt;=46112),'Task Assignment'!J63,"")</f>
        <v/>
      </c>
      <c r="L64" s="58" t="str">
        <f aca="false">IF(AND(E64&lt;&gt;"",F64&lt;&gt;"",E64&lt;=46125,F64&gt;=46119),'Task Assignment'!J63,"")</f>
        <v/>
      </c>
      <c r="M64" s="58" t="str">
        <f aca="false">IF(AND(E64&lt;&gt;"",F64&lt;&gt;"",E64&lt;=46132,F64&gt;=46126),'Task Assignment'!J63,"")</f>
        <v/>
      </c>
      <c r="N64" s="58" t="str">
        <f aca="false">IF(AND(E64&lt;&gt;"",F64&lt;&gt;"",E64&lt;=46139,F64&gt;=46133),'Task Assignment'!J63,"")</f>
        <v/>
      </c>
    </row>
    <row r="65" customFormat="false" ht="15" hidden="false" customHeight="false" outlineLevel="0" collapsed="false">
      <c r="A65" s="49" t="n">
        <f aca="false">'Task Assignment'!A64</f>
        <v>0</v>
      </c>
      <c r="B65" s="50" t="n">
        <f aca="false">'Task Assignment'!C64</f>
        <v>0</v>
      </c>
      <c r="C65" s="51" t="n">
        <f aca="false">'Task Assignment'!D64</f>
        <v>0</v>
      </c>
      <c r="D65" s="51" t="n">
        <f aca="false">'Task Assignment'!E64</f>
        <v>0</v>
      </c>
      <c r="E65" s="52" t="n">
        <f aca="false">'Task Assignment'!H64</f>
        <v>0</v>
      </c>
      <c r="F65" s="52" t="n">
        <f aca="false">'Task Assignment'!I64</f>
        <v>0</v>
      </c>
      <c r="G65" s="53" t="str">
        <f aca="false">IF(AND(E65&lt;&gt;"",F65&lt;&gt;"",E65&lt;=46090,F65&gt;=46084),'Task Assignment'!J64,"")</f>
        <v/>
      </c>
      <c r="H65" s="53" t="str">
        <f aca="false">IF(AND(E65&lt;&gt;"",F65&lt;&gt;"",E65&lt;=46097,F65&gt;=46091),'Task Assignment'!J64,"")</f>
        <v/>
      </c>
      <c r="I65" s="53" t="str">
        <f aca="false">IF(AND(E65&lt;&gt;"",F65&lt;&gt;"",E65&lt;=46104,F65&gt;=46098),'Task Assignment'!J64,"")</f>
        <v/>
      </c>
      <c r="J65" s="53" t="str">
        <f aca="false">IF(AND(E65&lt;&gt;"",F65&lt;&gt;"",E65&lt;=46111,F65&gt;=46105),'Task Assignment'!J64,"")</f>
        <v/>
      </c>
      <c r="K65" s="53" t="str">
        <f aca="false">IF(AND(E65&lt;&gt;"",F65&lt;&gt;"",E65&lt;=46118,F65&gt;=46112),'Task Assignment'!J64,"")</f>
        <v/>
      </c>
      <c r="L65" s="53" t="str">
        <f aca="false">IF(AND(E65&lt;&gt;"",F65&lt;&gt;"",E65&lt;=46125,F65&gt;=46119),'Task Assignment'!J64,"")</f>
        <v/>
      </c>
      <c r="M65" s="53" t="str">
        <f aca="false">IF(AND(E65&lt;&gt;"",F65&lt;&gt;"",E65&lt;=46132,F65&gt;=46126),'Task Assignment'!J64,"")</f>
        <v/>
      </c>
      <c r="N65" s="53" t="str">
        <f aca="false">IF(AND(E65&lt;&gt;"",F65&lt;&gt;"",E65&lt;=46139,F65&gt;=46133),'Task Assignment'!J64,"")</f>
        <v/>
      </c>
    </row>
    <row r="66" customFormat="false" ht="15" hidden="false" customHeight="false" outlineLevel="0" collapsed="false">
      <c r="A66" s="54" t="n">
        <f aca="false">'Task Assignment'!A65</f>
        <v>0</v>
      </c>
      <c r="B66" s="55" t="n">
        <f aca="false">'Task Assignment'!C65</f>
        <v>0</v>
      </c>
      <c r="C66" s="56" t="n">
        <f aca="false">'Task Assignment'!D65</f>
        <v>0</v>
      </c>
      <c r="D66" s="56" t="n">
        <f aca="false">'Task Assignment'!E65</f>
        <v>0</v>
      </c>
      <c r="E66" s="57" t="n">
        <f aca="false">'Task Assignment'!H65</f>
        <v>0</v>
      </c>
      <c r="F66" s="57" t="n">
        <f aca="false">'Task Assignment'!I65</f>
        <v>0</v>
      </c>
      <c r="G66" s="58" t="str">
        <f aca="false">IF(AND(E66&lt;&gt;"",F66&lt;&gt;"",E66&lt;=46090,F66&gt;=46084),'Task Assignment'!J65,"")</f>
        <v/>
      </c>
      <c r="H66" s="58" t="str">
        <f aca="false">IF(AND(E66&lt;&gt;"",F66&lt;&gt;"",E66&lt;=46097,F66&gt;=46091),'Task Assignment'!J65,"")</f>
        <v/>
      </c>
      <c r="I66" s="58" t="str">
        <f aca="false">IF(AND(E66&lt;&gt;"",F66&lt;&gt;"",E66&lt;=46104,F66&gt;=46098),'Task Assignment'!J65,"")</f>
        <v/>
      </c>
      <c r="J66" s="58" t="str">
        <f aca="false">IF(AND(E66&lt;&gt;"",F66&lt;&gt;"",E66&lt;=46111,F66&gt;=46105),'Task Assignment'!J65,"")</f>
        <v/>
      </c>
      <c r="K66" s="58" t="str">
        <f aca="false">IF(AND(E66&lt;&gt;"",F66&lt;&gt;"",E66&lt;=46118,F66&gt;=46112),'Task Assignment'!J65,"")</f>
        <v/>
      </c>
      <c r="L66" s="58" t="str">
        <f aca="false">IF(AND(E66&lt;&gt;"",F66&lt;&gt;"",E66&lt;=46125,F66&gt;=46119),'Task Assignment'!J65,"")</f>
        <v/>
      </c>
      <c r="M66" s="58" t="str">
        <f aca="false">IF(AND(E66&lt;&gt;"",F66&lt;&gt;"",E66&lt;=46132,F66&gt;=46126),'Task Assignment'!J65,"")</f>
        <v/>
      </c>
      <c r="N66" s="58" t="str">
        <f aca="false">IF(AND(E66&lt;&gt;"",F66&lt;&gt;"",E66&lt;=46139,F66&gt;=46133),'Task Assignment'!J65,"")</f>
        <v/>
      </c>
    </row>
    <row r="67" customFormat="false" ht="15" hidden="false" customHeight="false" outlineLevel="0" collapsed="false">
      <c r="A67" s="49" t="n">
        <f aca="false">'Task Assignment'!A66</f>
        <v>0</v>
      </c>
      <c r="B67" s="50" t="n">
        <f aca="false">'Task Assignment'!C66</f>
        <v>0</v>
      </c>
      <c r="C67" s="51" t="n">
        <f aca="false">'Task Assignment'!D66</f>
        <v>0</v>
      </c>
      <c r="D67" s="51" t="n">
        <f aca="false">'Task Assignment'!E66</f>
        <v>0</v>
      </c>
      <c r="E67" s="52" t="n">
        <f aca="false">'Task Assignment'!H66</f>
        <v>0</v>
      </c>
      <c r="F67" s="52" t="n">
        <f aca="false">'Task Assignment'!I66</f>
        <v>0</v>
      </c>
      <c r="G67" s="53" t="str">
        <f aca="false">IF(AND(E67&lt;&gt;"",F67&lt;&gt;"",E67&lt;=46090,F67&gt;=46084),'Task Assignment'!J66,"")</f>
        <v/>
      </c>
      <c r="H67" s="53" t="str">
        <f aca="false">IF(AND(E67&lt;&gt;"",F67&lt;&gt;"",E67&lt;=46097,F67&gt;=46091),'Task Assignment'!J66,"")</f>
        <v/>
      </c>
      <c r="I67" s="53" t="str">
        <f aca="false">IF(AND(E67&lt;&gt;"",F67&lt;&gt;"",E67&lt;=46104,F67&gt;=46098),'Task Assignment'!J66,"")</f>
        <v/>
      </c>
      <c r="J67" s="53" t="str">
        <f aca="false">IF(AND(E67&lt;&gt;"",F67&lt;&gt;"",E67&lt;=46111,F67&gt;=46105),'Task Assignment'!J66,"")</f>
        <v/>
      </c>
      <c r="K67" s="53" t="str">
        <f aca="false">IF(AND(E67&lt;&gt;"",F67&lt;&gt;"",E67&lt;=46118,F67&gt;=46112),'Task Assignment'!J66,"")</f>
        <v/>
      </c>
      <c r="L67" s="53" t="str">
        <f aca="false">IF(AND(E67&lt;&gt;"",F67&lt;&gt;"",E67&lt;=46125,F67&gt;=46119),'Task Assignment'!J66,"")</f>
        <v/>
      </c>
      <c r="M67" s="53" t="str">
        <f aca="false">IF(AND(E67&lt;&gt;"",F67&lt;&gt;"",E67&lt;=46132,F67&gt;=46126),'Task Assignment'!J66,"")</f>
        <v/>
      </c>
      <c r="N67" s="53" t="str">
        <f aca="false">IF(AND(E67&lt;&gt;"",F67&lt;&gt;"",E67&lt;=46139,F67&gt;=46133),'Task Assignment'!J66,"")</f>
        <v/>
      </c>
    </row>
    <row r="68" customFormat="false" ht="15" hidden="false" customHeight="false" outlineLevel="0" collapsed="false">
      <c r="A68" s="54" t="n">
        <f aca="false">'Task Assignment'!A67</f>
        <v>0</v>
      </c>
      <c r="B68" s="55" t="n">
        <f aca="false">'Task Assignment'!C67</f>
        <v>0</v>
      </c>
      <c r="C68" s="56" t="n">
        <f aca="false">'Task Assignment'!D67</f>
        <v>0</v>
      </c>
      <c r="D68" s="56" t="n">
        <f aca="false">'Task Assignment'!E67</f>
        <v>0</v>
      </c>
      <c r="E68" s="57" t="n">
        <f aca="false">'Task Assignment'!H67</f>
        <v>0</v>
      </c>
      <c r="F68" s="57" t="n">
        <f aca="false">'Task Assignment'!I67</f>
        <v>0</v>
      </c>
      <c r="G68" s="58" t="str">
        <f aca="false">IF(AND(E68&lt;&gt;"",F68&lt;&gt;"",E68&lt;=46090,F68&gt;=46084),'Task Assignment'!J67,"")</f>
        <v/>
      </c>
      <c r="H68" s="58" t="str">
        <f aca="false">IF(AND(E68&lt;&gt;"",F68&lt;&gt;"",E68&lt;=46097,F68&gt;=46091),'Task Assignment'!J67,"")</f>
        <v/>
      </c>
      <c r="I68" s="58" t="str">
        <f aca="false">IF(AND(E68&lt;&gt;"",F68&lt;&gt;"",E68&lt;=46104,F68&gt;=46098),'Task Assignment'!J67,"")</f>
        <v/>
      </c>
      <c r="J68" s="58" t="str">
        <f aca="false">IF(AND(E68&lt;&gt;"",F68&lt;&gt;"",E68&lt;=46111,F68&gt;=46105),'Task Assignment'!J67,"")</f>
        <v/>
      </c>
      <c r="K68" s="58" t="str">
        <f aca="false">IF(AND(E68&lt;&gt;"",F68&lt;&gt;"",E68&lt;=46118,F68&gt;=46112),'Task Assignment'!J67,"")</f>
        <v/>
      </c>
      <c r="L68" s="58" t="str">
        <f aca="false">IF(AND(E68&lt;&gt;"",F68&lt;&gt;"",E68&lt;=46125,F68&gt;=46119),'Task Assignment'!J67,"")</f>
        <v/>
      </c>
      <c r="M68" s="58" t="str">
        <f aca="false">IF(AND(E68&lt;&gt;"",F68&lt;&gt;"",E68&lt;=46132,F68&gt;=46126),'Task Assignment'!J67,"")</f>
        <v/>
      </c>
      <c r="N68" s="58" t="str">
        <f aca="false">IF(AND(E68&lt;&gt;"",F68&lt;&gt;"",E68&lt;=46139,F68&gt;=46133),'Task Assignment'!J67,"")</f>
        <v/>
      </c>
    </row>
    <row r="69" customFormat="false" ht="15" hidden="false" customHeight="false" outlineLevel="0" collapsed="false">
      <c r="A69" s="49" t="n">
        <f aca="false">'Task Assignment'!A68</f>
        <v>0</v>
      </c>
      <c r="B69" s="50" t="n">
        <f aca="false">'Task Assignment'!C68</f>
        <v>0</v>
      </c>
      <c r="C69" s="51" t="n">
        <f aca="false">'Task Assignment'!D68</f>
        <v>0</v>
      </c>
      <c r="D69" s="51" t="n">
        <f aca="false">'Task Assignment'!E68</f>
        <v>0</v>
      </c>
      <c r="E69" s="52" t="n">
        <f aca="false">'Task Assignment'!H68</f>
        <v>0</v>
      </c>
      <c r="F69" s="52" t="n">
        <f aca="false">'Task Assignment'!I68</f>
        <v>0</v>
      </c>
      <c r="G69" s="53" t="str">
        <f aca="false">IF(AND(E69&lt;&gt;"",F69&lt;&gt;"",E69&lt;=46090,F69&gt;=46084),'Task Assignment'!J68,"")</f>
        <v/>
      </c>
      <c r="H69" s="53" t="str">
        <f aca="false">IF(AND(E69&lt;&gt;"",F69&lt;&gt;"",E69&lt;=46097,F69&gt;=46091),'Task Assignment'!J68,"")</f>
        <v/>
      </c>
      <c r="I69" s="53" t="str">
        <f aca="false">IF(AND(E69&lt;&gt;"",F69&lt;&gt;"",E69&lt;=46104,F69&gt;=46098),'Task Assignment'!J68,"")</f>
        <v/>
      </c>
      <c r="J69" s="53" t="str">
        <f aca="false">IF(AND(E69&lt;&gt;"",F69&lt;&gt;"",E69&lt;=46111,F69&gt;=46105),'Task Assignment'!J68,"")</f>
        <v/>
      </c>
      <c r="K69" s="53" t="str">
        <f aca="false">IF(AND(E69&lt;&gt;"",F69&lt;&gt;"",E69&lt;=46118,F69&gt;=46112),'Task Assignment'!J68,"")</f>
        <v/>
      </c>
      <c r="L69" s="53" t="str">
        <f aca="false">IF(AND(E69&lt;&gt;"",F69&lt;&gt;"",E69&lt;=46125,F69&gt;=46119),'Task Assignment'!J68,"")</f>
        <v/>
      </c>
      <c r="M69" s="53" t="str">
        <f aca="false">IF(AND(E69&lt;&gt;"",F69&lt;&gt;"",E69&lt;=46132,F69&gt;=46126),'Task Assignment'!J68,"")</f>
        <v/>
      </c>
      <c r="N69" s="53" t="str">
        <f aca="false">IF(AND(E69&lt;&gt;"",F69&lt;&gt;"",E69&lt;=46139,F69&gt;=46133),'Task Assignment'!J68,"")</f>
        <v/>
      </c>
    </row>
    <row r="70" customFormat="false" ht="15" hidden="false" customHeight="false" outlineLevel="0" collapsed="false">
      <c r="A70" s="54" t="n">
        <f aca="false">'Task Assignment'!A69</f>
        <v>0</v>
      </c>
      <c r="B70" s="55" t="n">
        <f aca="false">'Task Assignment'!C69</f>
        <v>0</v>
      </c>
      <c r="C70" s="56" t="n">
        <f aca="false">'Task Assignment'!D69</f>
        <v>0</v>
      </c>
      <c r="D70" s="56" t="n">
        <f aca="false">'Task Assignment'!E69</f>
        <v>0</v>
      </c>
      <c r="E70" s="57" t="n">
        <f aca="false">'Task Assignment'!H69</f>
        <v>0</v>
      </c>
      <c r="F70" s="57" t="n">
        <f aca="false">'Task Assignment'!I69</f>
        <v>0</v>
      </c>
      <c r="G70" s="58" t="str">
        <f aca="false">IF(AND(E70&lt;&gt;"",F70&lt;&gt;"",E70&lt;=46090,F70&gt;=46084),'Task Assignment'!J69,"")</f>
        <v/>
      </c>
      <c r="H70" s="58" t="str">
        <f aca="false">IF(AND(E70&lt;&gt;"",F70&lt;&gt;"",E70&lt;=46097,F70&gt;=46091),'Task Assignment'!J69,"")</f>
        <v/>
      </c>
      <c r="I70" s="58" t="str">
        <f aca="false">IF(AND(E70&lt;&gt;"",F70&lt;&gt;"",E70&lt;=46104,F70&gt;=46098),'Task Assignment'!J69,"")</f>
        <v/>
      </c>
      <c r="J70" s="58" t="str">
        <f aca="false">IF(AND(E70&lt;&gt;"",F70&lt;&gt;"",E70&lt;=46111,F70&gt;=46105),'Task Assignment'!J69,"")</f>
        <v/>
      </c>
      <c r="K70" s="58" t="str">
        <f aca="false">IF(AND(E70&lt;&gt;"",F70&lt;&gt;"",E70&lt;=46118,F70&gt;=46112),'Task Assignment'!J69,"")</f>
        <v/>
      </c>
      <c r="L70" s="58" t="str">
        <f aca="false">IF(AND(E70&lt;&gt;"",F70&lt;&gt;"",E70&lt;=46125,F70&gt;=46119),'Task Assignment'!J69,"")</f>
        <v/>
      </c>
      <c r="M70" s="58" t="str">
        <f aca="false">IF(AND(E70&lt;&gt;"",F70&lt;&gt;"",E70&lt;=46132,F70&gt;=46126),'Task Assignment'!J69,"")</f>
        <v/>
      </c>
      <c r="N70" s="58" t="str">
        <f aca="false">IF(AND(E70&lt;&gt;"",F70&lt;&gt;"",E70&lt;=46139,F70&gt;=46133),'Task Assignment'!J69,"")</f>
        <v/>
      </c>
    </row>
    <row r="71" customFormat="false" ht="15" hidden="false" customHeight="false" outlineLevel="0" collapsed="false">
      <c r="A71" s="49" t="n">
        <f aca="false">'Task Assignment'!A70</f>
        <v>0</v>
      </c>
      <c r="B71" s="50" t="n">
        <f aca="false">'Task Assignment'!C70</f>
        <v>0</v>
      </c>
      <c r="C71" s="51" t="n">
        <f aca="false">'Task Assignment'!D70</f>
        <v>0</v>
      </c>
      <c r="D71" s="51" t="n">
        <f aca="false">'Task Assignment'!E70</f>
        <v>0</v>
      </c>
      <c r="E71" s="52" t="n">
        <f aca="false">'Task Assignment'!H70</f>
        <v>0</v>
      </c>
      <c r="F71" s="52" t="n">
        <f aca="false">'Task Assignment'!I70</f>
        <v>0</v>
      </c>
      <c r="G71" s="53" t="str">
        <f aca="false">IF(AND(E71&lt;&gt;"",F71&lt;&gt;"",E71&lt;=46090,F71&gt;=46084),'Task Assignment'!J70,"")</f>
        <v/>
      </c>
      <c r="H71" s="53" t="str">
        <f aca="false">IF(AND(E71&lt;&gt;"",F71&lt;&gt;"",E71&lt;=46097,F71&gt;=46091),'Task Assignment'!J70,"")</f>
        <v/>
      </c>
      <c r="I71" s="53" t="str">
        <f aca="false">IF(AND(E71&lt;&gt;"",F71&lt;&gt;"",E71&lt;=46104,F71&gt;=46098),'Task Assignment'!J70,"")</f>
        <v/>
      </c>
      <c r="J71" s="53" t="str">
        <f aca="false">IF(AND(E71&lt;&gt;"",F71&lt;&gt;"",E71&lt;=46111,F71&gt;=46105),'Task Assignment'!J70,"")</f>
        <v/>
      </c>
      <c r="K71" s="53" t="str">
        <f aca="false">IF(AND(E71&lt;&gt;"",F71&lt;&gt;"",E71&lt;=46118,F71&gt;=46112),'Task Assignment'!J70,"")</f>
        <v/>
      </c>
      <c r="L71" s="53" t="str">
        <f aca="false">IF(AND(E71&lt;&gt;"",F71&lt;&gt;"",E71&lt;=46125,F71&gt;=46119),'Task Assignment'!J70,"")</f>
        <v/>
      </c>
      <c r="M71" s="53" t="str">
        <f aca="false">IF(AND(E71&lt;&gt;"",F71&lt;&gt;"",E71&lt;=46132,F71&gt;=46126),'Task Assignment'!J70,"")</f>
        <v/>
      </c>
      <c r="N71" s="53" t="str">
        <f aca="false">IF(AND(E71&lt;&gt;"",F71&lt;&gt;"",E71&lt;=46139,F71&gt;=46133),'Task Assignment'!J70,"")</f>
        <v/>
      </c>
    </row>
    <row r="72" customFormat="false" ht="15" hidden="false" customHeight="false" outlineLevel="0" collapsed="false">
      <c r="A72" s="54" t="n">
        <f aca="false">'Task Assignment'!A71</f>
        <v>0</v>
      </c>
      <c r="B72" s="55" t="n">
        <f aca="false">'Task Assignment'!C71</f>
        <v>0</v>
      </c>
      <c r="C72" s="56" t="n">
        <f aca="false">'Task Assignment'!D71</f>
        <v>0</v>
      </c>
      <c r="D72" s="56" t="n">
        <f aca="false">'Task Assignment'!E71</f>
        <v>0</v>
      </c>
      <c r="E72" s="57" t="n">
        <f aca="false">'Task Assignment'!H71</f>
        <v>0</v>
      </c>
      <c r="F72" s="57" t="n">
        <f aca="false">'Task Assignment'!I71</f>
        <v>0</v>
      </c>
      <c r="G72" s="58" t="str">
        <f aca="false">IF(AND(E72&lt;&gt;"",F72&lt;&gt;"",E72&lt;=46090,F72&gt;=46084),'Task Assignment'!J71,"")</f>
        <v/>
      </c>
      <c r="H72" s="58" t="str">
        <f aca="false">IF(AND(E72&lt;&gt;"",F72&lt;&gt;"",E72&lt;=46097,F72&gt;=46091),'Task Assignment'!J71,"")</f>
        <v/>
      </c>
      <c r="I72" s="58" t="str">
        <f aca="false">IF(AND(E72&lt;&gt;"",F72&lt;&gt;"",E72&lt;=46104,F72&gt;=46098),'Task Assignment'!J71,"")</f>
        <v/>
      </c>
      <c r="J72" s="58" t="str">
        <f aca="false">IF(AND(E72&lt;&gt;"",F72&lt;&gt;"",E72&lt;=46111,F72&gt;=46105),'Task Assignment'!J71,"")</f>
        <v/>
      </c>
      <c r="K72" s="58" t="str">
        <f aca="false">IF(AND(E72&lt;&gt;"",F72&lt;&gt;"",E72&lt;=46118,F72&gt;=46112),'Task Assignment'!J71,"")</f>
        <v/>
      </c>
      <c r="L72" s="58" t="str">
        <f aca="false">IF(AND(E72&lt;&gt;"",F72&lt;&gt;"",E72&lt;=46125,F72&gt;=46119),'Task Assignment'!J71,"")</f>
        <v/>
      </c>
      <c r="M72" s="58" t="str">
        <f aca="false">IF(AND(E72&lt;&gt;"",F72&lt;&gt;"",E72&lt;=46132,F72&gt;=46126),'Task Assignment'!J71,"")</f>
        <v/>
      </c>
      <c r="N72" s="58" t="str">
        <f aca="false">IF(AND(E72&lt;&gt;"",F72&lt;&gt;"",E72&lt;=46139,F72&gt;=46133),'Task Assignment'!J71,"")</f>
        <v/>
      </c>
    </row>
    <row r="73" customFormat="false" ht="15" hidden="false" customHeight="false" outlineLevel="0" collapsed="false">
      <c r="A73" s="49" t="n">
        <f aca="false">'Task Assignment'!A72</f>
        <v>0</v>
      </c>
      <c r="B73" s="50" t="n">
        <f aca="false">'Task Assignment'!C72</f>
        <v>0</v>
      </c>
      <c r="C73" s="51" t="n">
        <f aca="false">'Task Assignment'!D72</f>
        <v>0</v>
      </c>
      <c r="D73" s="51" t="n">
        <f aca="false">'Task Assignment'!E72</f>
        <v>0</v>
      </c>
      <c r="E73" s="52" t="n">
        <f aca="false">'Task Assignment'!H72</f>
        <v>0</v>
      </c>
      <c r="F73" s="52" t="n">
        <f aca="false">'Task Assignment'!I72</f>
        <v>0</v>
      </c>
      <c r="G73" s="53" t="str">
        <f aca="false">IF(AND(E73&lt;&gt;"",F73&lt;&gt;"",E73&lt;=46090,F73&gt;=46084),'Task Assignment'!J72,"")</f>
        <v/>
      </c>
      <c r="H73" s="53" t="str">
        <f aca="false">IF(AND(E73&lt;&gt;"",F73&lt;&gt;"",E73&lt;=46097,F73&gt;=46091),'Task Assignment'!J72,"")</f>
        <v/>
      </c>
      <c r="I73" s="53" t="str">
        <f aca="false">IF(AND(E73&lt;&gt;"",F73&lt;&gt;"",E73&lt;=46104,F73&gt;=46098),'Task Assignment'!J72,"")</f>
        <v/>
      </c>
      <c r="J73" s="53" t="str">
        <f aca="false">IF(AND(E73&lt;&gt;"",F73&lt;&gt;"",E73&lt;=46111,F73&gt;=46105),'Task Assignment'!J72,"")</f>
        <v/>
      </c>
      <c r="K73" s="53" t="str">
        <f aca="false">IF(AND(E73&lt;&gt;"",F73&lt;&gt;"",E73&lt;=46118,F73&gt;=46112),'Task Assignment'!J72,"")</f>
        <v/>
      </c>
      <c r="L73" s="53" t="str">
        <f aca="false">IF(AND(E73&lt;&gt;"",F73&lt;&gt;"",E73&lt;=46125,F73&gt;=46119),'Task Assignment'!J72,"")</f>
        <v/>
      </c>
      <c r="M73" s="53" t="str">
        <f aca="false">IF(AND(E73&lt;&gt;"",F73&lt;&gt;"",E73&lt;=46132,F73&gt;=46126),'Task Assignment'!J72,"")</f>
        <v/>
      </c>
      <c r="N73" s="53" t="str">
        <f aca="false">IF(AND(E73&lt;&gt;"",F73&lt;&gt;"",E73&lt;=46139,F73&gt;=46133),'Task Assignment'!J72,"")</f>
        <v/>
      </c>
    </row>
    <row r="74" customFormat="false" ht="15" hidden="false" customHeight="false" outlineLevel="0" collapsed="false">
      <c r="A74" s="54" t="n">
        <f aca="false">'Task Assignment'!A73</f>
        <v>0</v>
      </c>
      <c r="B74" s="55" t="n">
        <f aca="false">'Task Assignment'!C73</f>
        <v>0</v>
      </c>
      <c r="C74" s="56" t="n">
        <f aca="false">'Task Assignment'!D73</f>
        <v>0</v>
      </c>
      <c r="D74" s="56" t="n">
        <f aca="false">'Task Assignment'!E73</f>
        <v>0</v>
      </c>
      <c r="E74" s="57" t="n">
        <f aca="false">'Task Assignment'!H73</f>
        <v>0</v>
      </c>
      <c r="F74" s="57" t="n">
        <f aca="false">'Task Assignment'!I73</f>
        <v>0</v>
      </c>
      <c r="G74" s="58" t="str">
        <f aca="false">IF(AND(E74&lt;&gt;"",F74&lt;&gt;"",E74&lt;=46090,F74&gt;=46084),'Task Assignment'!J73,"")</f>
        <v/>
      </c>
      <c r="H74" s="58" t="str">
        <f aca="false">IF(AND(E74&lt;&gt;"",F74&lt;&gt;"",E74&lt;=46097,F74&gt;=46091),'Task Assignment'!J73,"")</f>
        <v/>
      </c>
      <c r="I74" s="58" t="str">
        <f aca="false">IF(AND(E74&lt;&gt;"",F74&lt;&gt;"",E74&lt;=46104,F74&gt;=46098),'Task Assignment'!J73,"")</f>
        <v/>
      </c>
      <c r="J74" s="58" t="str">
        <f aca="false">IF(AND(E74&lt;&gt;"",F74&lt;&gt;"",E74&lt;=46111,F74&gt;=46105),'Task Assignment'!J73,"")</f>
        <v/>
      </c>
      <c r="K74" s="58" t="str">
        <f aca="false">IF(AND(E74&lt;&gt;"",F74&lt;&gt;"",E74&lt;=46118,F74&gt;=46112),'Task Assignment'!J73,"")</f>
        <v/>
      </c>
      <c r="L74" s="58" t="str">
        <f aca="false">IF(AND(E74&lt;&gt;"",F74&lt;&gt;"",E74&lt;=46125,F74&gt;=46119),'Task Assignment'!J73,"")</f>
        <v/>
      </c>
      <c r="M74" s="58" t="str">
        <f aca="false">IF(AND(E74&lt;&gt;"",F74&lt;&gt;"",E74&lt;=46132,F74&gt;=46126),'Task Assignment'!J73,"")</f>
        <v/>
      </c>
      <c r="N74" s="58" t="str">
        <f aca="false">IF(AND(E74&lt;&gt;"",F74&lt;&gt;"",E74&lt;=46139,F74&gt;=46133),'Task Assignment'!J73,"")</f>
        <v/>
      </c>
    </row>
    <row r="75" customFormat="false" ht="15" hidden="false" customHeight="false" outlineLevel="0" collapsed="false">
      <c r="A75" s="49" t="n">
        <f aca="false">'Task Assignment'!A74</f>
        <v>0</v>
      </c>
      <c r="B75" s="50" t="n">
        <f aca="false">'Task Assignment'!C74</f>
        <v>0</v>
      </c>
      <c r="C75" s="51" t="n">
        <f aca="false">'Task Assignment'!D74</f>
        <v>0</v>
      </c>
      <c r="D75" s="51" t="n">
        <f aca="false">'Task Assignment'!E74</f>
        <v>0</v>
      </c>
      <c r="E75" s="52" t="n">
        <f aca="false">'Task Assignment'!H74</f>
        <v>0</v>
      </c>
      <c r="F75" s="52" t="n">
        <f aca="false">'Task Assignment'!I74</f>
        <v>0</v>
      </c>
      <c r="G75" s="53" t="str">
        <f aca="false">IF(AND(E75&lt;&gt;"",F75&lt;&gt;"",E75&lt;=46090,F75&gt;=46084),'Task Assignment'!J74,"")</f>
        <v/>
      </c>
      <c r="H75" s="53" t="str">
        <f aca="false">IF(AND(E75&lt;&gt;"",F75&lt;&gt;"",E75&lt;=46097,F75&gt;=46091),'Task Assignment'!J74,"")</f>
        <v/>
      </c>
      <c r="I75" s="53" t="str">
        <f aca="false">IF(AND(E75&lt;&gt;"",F75&lt;&gt;"",E75&lt;=46104,F75&gt;=46098),'Task Assignment'!J74,"")</f>
        <v/>
      </c>
      <c r="J75" s="53" t="str">
        <f aca="false">IF(AND(E75&lt;&gt;"",F75&lt;&gt;"",E75&lt;=46111,F75&gt;=46105),'Task Assignment'!J74,"")</f>
        <v/>
      </c>
      <c r="K75" s="53" t="str">
        <f aca="false">IF(AND(E75&lt;&gt;"",F75&lt;&gt;"",E75&lt;=46118,F75&gt;=46112),'Task Assignment'!J74,"")</f>
        <v/>
      </c>
      <c r="L75" s="53" t="str">
        <f aca="false">IF(AND(E75&lt;&gt;"",F75&lt;&gt;"",E75&lt;=46125,F75&gt;=46119),'Task Assignment'!J74,"")</f>
        <v/>
      </c>
      <c r="M75" s="53" t="str">
        <f aca="false">IF(AND(E75&lt;&gt;"",F75&lt;&gt;"",E75&lt;=46132,F75&gt;=46126),'Task Assignment'!J74,"")</f>
        <v/>
      </c>
      <c r="N75" s="53" t="str">
        <f aca="false">IF(AND(E75&lt;&gt;"",F75&lt;&gt;"",E75&lt;=46139,F75&gt;=46133),'Task Assignment'!J74,"")</f>
        <v/>
      </c>
    </row>
    <row r="76" customFormat="false" ht="15" hidden="false" customHeight="false" outlineLevel="0" collapsed="false">
      <c r="A76" s="54" t="n">
        <f aca="false">'Task Assignment'!A75</f>
        <v>0</v>
      </c>
      <c r="B76" s="55" t="n">
        <f aca="false">'Task Assignment'!C75</f>
        <v>0</v>
      </c>
      <c r="C76" s="56" t="n">
        <f aca="false">'Task Assignment'!D75</f>
        <v>0</v>
      </c>
      <c r="D76" s="56" t="n">
        <f aca="false">'Task Assignment'!E75</f>
        <v>0</v>
      </c>
      <c r="E76" s="57" t="n">
        <f aca="false">'Task Assignment'!H75</f>
        <v>0</v>
      </c>
      <c r="F76" s="57" t="n">
        <f aca="false">'Task Assignment'!I75</f>
        <v>0</v>
      </c>
      <c r="G76" s="58" t="str">
        <f aca="false">IF(AND(E76&lt;&gt;"",F76&lt;&gt;"",E76&lt;=46090,F76&gt;=46084),'Task Assignment'!J75,"")</f>
        <v/>
      </c>
      <c r="H76" s="58" t="str">
        <f aca="false">IF(AND(E76&lt;&gt;"",F76&lt;&gt;"",E76&lt;=46097,F76&gt;=46091),'Task Assignment'!J75,"")</f>
        <v/>
      </c>
      <c r="I76" s="58" t="str">
        <f aca="false">IF(AND(E76&lt;&gt;"",F76&lt;&gt;"",E76&lt;=46104,F76&gt;=46098),'Task Assignment'!J75,"")</f>
        <v/>
      </c>
      <c r="J76" s="58" t="str">
        <f aca="false">IF(AND(E76&lt;&gt;"",F76&lt;&gt;"",E76&lt;=46111,F76&gt;=46105),'Task Assignment'!J75,"")</f>
        <v/>
      </c>
      <c r="K76" s="58" t="str">
        <f aca="false">IF(AND(E76&lt;&gt;"",F76&lt;&gt;"",E76&lt;=46118,F76&gt;=46112),'Task Assignment'!J75,"")</f>
        <v/>
      </c>
      <c r="L76" s="58" t="str">
        <f aca="false">IF(AND(E76&lt;&gt;"",F76&lt;&gt;"",E76&lt;=46125,F76&gt;=46119),'Task Assignment'!J75,"")</f>
        <v/>
      </c>
      <c r="M76" s="58" t="str">
        <f aca="false">IF(AND(E76&lt;&gt;"",F76&lt;&gt;"",E76&lt;=46132,F76&gt;=46126),'Task Assignment'!J75,"")</f>
        <v/>
      </c>
      <c r="N76" s="58" t="str">
        <f aca="false">IF(AND(E76&lt;&gt;"",F76&lt;&gt;"",E76&lt;=46139,F76&gt;=46133),'Task Assignment'!J75,"")</f>
        <v/>
      </c>
    </row>
    <row r="77" customFormat="false" ht="15" hidden="false" customHeight="false" outlineLevel="0" collapsed="false">
      <c r="A77" s="49" t="n">
        <f aca="false">'Task Assignment'!A76</f>
        <v>0</v>
      </c>
      <c r="B77" s="50" t="n">
        <f aca="false">'Task Assignment'!C76</f>
        <v>0</v>
      </c>
      <c r="C77" s="51" t="n">
        <f aca="false">'Task Assignment'!D76</f>
        <v>0</v>
      </c>
      <c r="D77" s="51" t="n">
        <f aca="false">'Task Assignment'!E76</f>
        <v>0</v>
      </c>
      <c r="E77" s="52" t="n">
        <f aca="false">'Task Assignment'!H76</f>
        <v>0</v>
      </c>
      <c r="F77" s="52" t="n">
        <f aca="false">'Task Assignment'!I76</f>
        <v>0</v>
      </c>
      <c r="G77" s="53" t="str">
        <f aca="false">IF(AND(E77&lt;&gt;"",F77&lt;&gt;"",E77&lt;=46090,F77&gt;=46084),'Task Assignment'!J76,"")</f>
        <v/>
      </c>
      <c r="H77" s="53" t="str">
        <f aca="false">IF(AND(E77&lt;&gt;"",F77&lt;&gt;"",E77&lt;=46097,F77&gt;=46091),'Task Assignment'!J76,"")</f>
        <v/>
      </c>
      <c r="I77" s="53" t="str">
        <f aca="false">IF(AND(E77&lt;&gt;"",F77&lt;&gt;"",E77&lt;=46104,F77&gt;=46098),'Task Assignment'!J76,"")</f>
        <v/>
      </c>
      <c r="J77" s="53" t="str">
        <f aca="false">IF(AND(E77&lt;&gt;"",F77&lt;&gt;"",E77&lt;=46111,F77&gt;=46105),'Task Assignment'!J76,"")</f>
        <v/>
      </c>
      <c r="K77" s="53" t="str">
        <f aca="false">IF(AND(E77&lt;&gt;"",F77&lt;&gt;"",E77&lt;=46118,F77&gt;=46112),'Task Assignment'!J76,"")</f>
        <v/>
      </c>
      <c r="L77" s="53" t="str">
        <f aca="false">IF(AND(E77&lt;&gt;"",F77&lt;&gt;"",E77&lt;=46125,F77&gt;=46119),'Task Assignment'!J76,"")</f>
        <v/>
      </c>
      <c r="M77" s="53" t="str">
        <f aca="false">IF(AND(E77&lt;&gt;"",F77&lt;&gt;"",E77&lt;=46132,F77&gt;=46126),'Task Assignment'!J76,"")</f>
        <v/>
      </c>
      <c r="N77" s="53" t="str">
        <f aca="false">IF(AND(E77&lt;&gt;"",F77&lt;&gt;"",E77&lt;=46139,F77&gt;=46133),'Task Assignment'!J76,"")</f>
        <v/>
      </c>
    </row>
    <row r="78" customFormat="false" ht="15" hidden="false" customHeight="false" outlineLevel="0" collapsed="false">
      <c r="A78" s="54" t="n">
        <f aca="false">'Task Assignment'!A77</f>
        <v>0</v>
      </c>
      <c r="B78" s="55" t="n">
        <f aca="false">'Task Assignment'!C77</f>
        <v>0</v>
      </c>
      <c r="C78" s="56" t="n">
        <f aca="false">'Task Assignment'!D77</f>
        <v>0</v>
      </c>
      <c r="D78" s="56" t="n">
        <f aca="false">'Task Assignment'!E77</f>
        <v>0</v>
      </c>
      <c r="E78" s="57" t="n">
        <f aca="false">'Task Assignment'!H77</f>
        <v>0</v>
      </c>
      <c r="F78" s="57" t="n">
        <f aca="false">'Task Assignment'!I77</f>
        <v>0</v>
      </c>
      <c r="G78" s="58" t="str">
        <f aca="false">IF(AND(E78&lt;&gt;"",F78&lt;&gt;"",E78&lt;=46090,F78&gt;=46084),'Task Assignment'!J77,"")</f>
        <v/>
      </c>
      <c r="H78" s="58" t="str">
        <f aca="false">IF(AND(E78&lt;&gt;"",F78&lt;&gt;"",E78&lt;=46097,F78&gt;=46091),'Task Assignment'!J77,"")</f>
        <v/>
      </c>
      <c r="I78" s="58" t="str">
        <f aca="false">IF(AND(E78&lt;&gt;"",F78&lt;&gt;"",E78&lt;=46104,F78&gt;=46098),'Task Assignment'!J77,"")</f>
        <v/>
      </c>
      <c r="J78" s="58" t="str">
        <f aca="false">IF(AND(E78&lt;&gt;"",F78&lt;&gt;"",E78&lt;=46111,F78&gt;=46105),'Task Assignment'!J77,"")</f>
        <v/>
      </c>
      <c r="K78" s="58" t="str">
        <f aca="false">IF(AND(E78&lt;&gt;"",F78&lt;&gt;"",E78&lt;=46118,F78&gt;=46112),'Task Assignment'!J77,"")</f>
        <v/>
      </c>
      <c r="L78" s="58" t="str">
        <f aca="false">IF(AND(E78&lt;&gt;"",F78&lt;&gt;"",E78&lt;=46125,F78&gt;=46119),'Task Assignment'!J77,"")</f>
        <v/>
      </c>
      <c r="M78" s="58" t="str">
        <f aca="false">IF(AND(E78&lt;&gt;"",F78&lt;&gt;"",E78&lt;=46132,F78&gt;=46126),'Task Assignment'!J77,"")</f>
        <v/>
      </c>
      <c r="N78" s="58" t="str">
        <f aca="false">IF(AND(E78&lt;&gt;"",F78&lt;&gt;"",E78&lt;=46139,F78&gt;=46133),'Task Assignment'!J77,"")</f>
        <v/>
      </c>
    </row>
    <row r="79" customFormat="false" ht="15" hidden="false" customHeight="false" outlineLevel="0" collapsed="false">
      <c r="A79" s="49" t="n">
        <f aca="false">'Task Assignment'!A78</f>
        <v>0</v>
      </c>
      <c r="B79" s="50" t="n">
        <f aca="false">'Task Assignment'!C78</f>
        <v>0</v>
      </c>
      <c r="C79" s="51" t="n">
        <f aca="false">'Task Assignment'!D78</f>
        <v>0</v>
      </c>
      <c r="D79" s="51" t="n">
        <f aca="false">'Task Assignment'!E78</f>
        <v>0</v>
      </c>
      <c r="E79" s="52" t="n">
        <f aca="false">'Task Assignment'!H78</f>
        <v>0</v>
      </c>
      <c r="F79" s="52" t="n">
        <f aca="false">'Task Assignment'!I78</f>
        <v>0</v>
      </c>
      <c r="G79" s="53" t="str">
        <f aca="false">IF(AND(E79&lt;&gt;"",F79&lt;&gt;"",E79&lt;=46090,F79&gt;=46084),'Task Assignment'!J78,"")</f>
        <v/>
      </c>
      <c r="H79" s="53" t="str">
        <f aca="false">IF(AND(E79&lt;&gt;"",F79&lt;&gt;"",E79&lt;=46097,F79&gt;=46091),'Task Assignment'!J78,"")</f>
        <v/>
      </c>
      <c r="I79" s="53" t="str">
        <f aca="false">IF(AND(E79&lt;&gt;"",F79&lt;&gt;"",E79&lt;=46104,F79&gt;=46098),'Task Assignment'!J78,"")</f>
        <v/>
      </c>
      <c r="J79" s="53" t="str">
        <f aca="false">IF(AND(E79&lt;&gt;"",F79&lt;&gt;"",E79&lt;=46111,F79&gt;=46105),'Task Assignment'!J78,"")</f>
        <v/>
      </c>
      <c r="K79" s="53" t="str">
        <f aca="false">IF(AND(E79&lt;&gt;"",F79&lt;&gt;"",E79&lt;=46118,F79&gt;=46112),'Task Assignment'!J78,"")</f>
        <v/>
      </c>
      <c r="L79" s="53" t="str">
        <f aca="false">IF(AND(E79&lt;&gt;"",F79&lt;&gt;"",E79&lt;=46125,F79&gt;=46119),'Task Assignment'!J78,"")</f>
        <v/>
      </c>
      <c r="M79" s="53" t="str">
        <f aca="false">IF(AND(E79&lt;&gt;"",F79&lt;&gt;"",E79&lt;=46132,F79&gt;=46126),'Task Assignment'!J78,"")</f>
        <v/>
      </c>
      <c r="N79" s="53" t="str">
        <f aca="false">IF(AND(E79&lt;&gt;"",F79&lt;&gt;"",E79&lt;=46139,F79&gt;=46133),'Task Assignment'!J78,"")</f>
        <v/>
      </c>
    </row>
    <row r="80" customFormat="false" ht="15" hidden="false" customHeight="false" outlineLevel="0" collapsed="false">
      <c r="A80" s="54" t="n">
        <f aca="false">'Task Assignment'!A79</f>
        <v>0</v>
      </c>
      <c r="B80" s="55" t="n">
        <f aca="false">'Task Assignment'!C79</f>
        <v>0</v>
      </c>
      <c r="C80" s="56" t="n">
        <f aca="false">'Task Assignment'!D79</f>
        <v>0</v>
      </c>
      <c r="D80" s="56" t="n">
        <f aca="false">'Task Assignment'!E79</f>
        <v>0</v>
      </c>
      <c r="E80" s="57" t="n">
        <f aca="false">'Task Assignment'!H79</f>
        <v>0</v>
      </c>
      <c r="F80" s="57" t="n">
        <f aca="false">'Task Assignment'!I79</f>
        <v>0</v>
      </c>
      <c r="G80" s="58" t="str">
        <f aca="false">IF(AND(E80&lt;&gt;"",F80&lt;&gt;"",E80&lt;=46090,F80&gt;=46084),'Task Assignment'!J79,"")</f>
        <v/>
      </c>
      <c r="H80" s="58" t="str">
        <f aca="false">IF(AND(E80&lt;&gt;"",F80&lt;&gt;"",E80&lt;=46097,F80&gt;=46091),'Task Assignment'!J79,"")</f>
        <v/>
      </c>
      <c r="I80" s="58" t="str">
        <f aca="false">IF(AND(E80&lt;&gt;"",F80&lt;&gt;"",E80&lt;=46104,F80&gt;=46098),'Task Assignment'!J79,"")</f>
        <v/>
      </c>
      <c r="J80" s="58" t="str">
        <f aca="false">IF(AND(E80&lt;&gt;"",F80&lt;&gt;"",E80&lt;=46111,F80&gt;=46105),'Task Assignment'!J79,"")</f>
        <v/>
      </c>
      <c r="K80" s="58" t="str">
        <f aca="false">IF(AND(E80&lt;&gt;"",F80&lt;&gt;"",E80&lt;=46118,F80&gt;=46112),'Task Assignment'!J79,"")</f>
        <v/>
      </c>
      <c r="L80" s="58" t="str">
        <f aca="false">IF(AND(E80&lt;&gt;"",F80&lt;&gt;"",E80&lt;=46125,F80&gt;=46119),'Task Assignment'!J79,"")</f>
        <v/>
      </c>
      <c r="M80" s="58" t="str">
        <f aca="false">IF(AND(E80&lt;&gt;"",F80&lt;&gt;"",E80&lt;=46132,F80&gt;=46126),'Task Assignment'!J79,"")</f>
        <v/>
      </c>
      <c r="N80" s="58" t="str">
        <f aca="false">IF(AND(E80&lt;&gt;"",F80&lt;&gt;"",E80&lt;=46139,F80&gt;=46133),'Task Assignment'!J79,"")</f>
        <v/>
      </c>
    </row>
    <row r="81" customFormat="false" ht="15" hidden="false" customHeight="false" outlineLevel="0" collapsed="false">
      <c r="A81" s="49" t="n">
        <f aca="false">'Task Assignment'!A80</f>
        <v>0</v>
      </c>
      <c r="B81" s="50" t="n">
        <f aca="false">'Task Assignment'!C80</f>
        <v>0</v>
      </c>
      <c r="C81" s="51" t="n">
        <f aca="false">'Task Assignment'!D80</f>
        <v>0</v>
      </c>
      <c r="D81" s="51" t="n">
        <f aca="false">'Task Assignment'!E80</f>
        <v>0</v>
      </c>
      <c r="E81" s="52" t="n">
        <f aca="false">'Task Assignment'!H80</f>
        <v>0</v>
      </c>
      <c r="F81" s="52" t="n">
        <f aca="false">'Task Assignment'!I80</f>
        <v>0</v>
      </c>
      <c r="G81" s="53" t="str">
        <f aca="false">IF(AND(E81&lt;&gt;"",F81&lt;&gt;"",E81&lt;=46090,F81&gt;=46084),'Task Assignment'!J80,"")</f>
        <v/>
      </c>
      <c r="H81" s="53" t="str">
        <f aca="false">IF(AND(E81&lt;&gt;"",F81&lt;&gt;"",E81&lt;=46097,F81&gt;=46091),'Task Assignment'!J80,"")</f>
        <v/>
      </c>
      <c r="I81" s="53" t="str">
        <f aca="false">IF(AND(E81&lt;&gt;"",F81&lt;&gt;"",E81&lt;=46104,F81&gt;=46098),'Task Assignment'!J80,"")</f>
        <v/>
      </c>
      <c r="J81" s="53" t="str">
        <f aca="false">IF(AND(E81&lt;&gt;"",F81&lt;&gt;"",E81&lt;=46111,F81&gt;=46105),'Task Assignment'!J80,"")</f>
        <v/>
      </c>
      <c r="K81" s="53" t="str">
        <f aca="false">IF(AND(E81&lt;&gt;"",F81&lt;&gt;"",E81&lt;=46118,F81&gt;=46112),'Task Assignment'!J80,"")</f>
        <v/>
      </c>
      <c r="L81" s="53" t="str">
        <f aca="false">IF(AND(E81&lt;&gt;"",F81&lt;&gt;"",E81&lt;=46125,F81&gt;=46119),'Task Assignment'!J80,"")</f>
        <v/>
      </c>
      <c r="M81" s="53" t="str">
        <f aca="false">IF(AND(E81&lt;&gt;"",F81&lt;&gt;"",E81&lt;=46132,F81&gt;=46126),'Task Assignment'!J80,"")</f>
        <v/>
      </c>
      <c r="N81" s="53" t="str">
        <f aca="false">IF(AND(E81&lt;&gt;"",F81&lt;&gt;"",E81&lt;=46139,F81&gt;=46133),'Task Assignment'!J80,"")</f>
        <v/>
      </c>
    </row>
    <row r="82" customFormat="false" ht="15" hidden="false" customHeight="false" outlineLevel="0" collapsed="false">
      <c r="A82" s="54" t="n">
        <f aca="false">'Task Assignment'!A81</f>
        <v>0</v>
      </c>
      <c r="B82" s="55" t="n">
        <f aca="false">'Task Assignment'!C81</f>
        <v>0</v>
      </c>
      <c r="C82" s="56" t="n">
        <f aca="false">'Task Assignment'!D81</f>
        <v>0</v>
      </c>
      <c r="D82" s="56" t="n">
        <f aca="false">'Task Assignment'!E81</f>
        <v>0</v>
      </c>
      <c r="E82" s="57" t="n">
        <f aca="false">'Task Assignment'!H81</f>
        <v>0</v>
      </c>
      <c r="F82" s="57" t="n">
        <f aca="false">'Task Assignment'!I81</f>
        <v>0</v>
      </c>
      <c r="G82" s="58" t="str">
        <f aca="false">IF(AND(E82&lt;&gt;"",F82&lt;&gt;"",E82&lt;=46090,F82&gt;=46084),'Task Assignment'!J81,"")</f>
        <v/>
      </c>
      <c r="H82" s="58" t="str">
        <f aca="false">IF(AND(E82&lt;&gt;"",F82&lt;&gt;"",E82&lt;=46097,F82&gt;=46091),'Task Assignment'!J81,"")</f>
        <v/>
      </c>
      <c r="I82" s="58" t="str">
        <f aca="false">IF(AND(E82&lt;&gt;"",F82&lt;&gt;"",E82&lt;=46104,F82&gt;=46098),'Task Assignment'!J81,"")</f>
        <v/>
      </c>
      <c r="J82" s="58" t="str">
        <f aca="false">IF(AND(E82&lt;&gt;"",F82&lt;&gt;"",E82&lt;=46111,F82&gt;=46105),'Task Assignment'!J81,"")</f>
        <v/>
      </c>
      <c r="K82" s="58" t="str">
        <f aca="false">IF(AND(E82&lt;&gt;"",F82&lt;&gt;"",E82&lt;=46118,F82&gt;=46112),'Task Assignment'!J81,"")</f>
        <v/>
      </c>
      <c r="L82" s="58" t="str">
        <f aca="false">IF(AND(E82&lt;&gt;"",F82&lt;&gt;"",E82&lt;=46125,F82&gt;=46119),'Task Assignment'!J81,"")</f>
        <v/>
      </c>
      <c r="M82" s="58" t="str">
        <f aca="false">IF(AND(E82&lt;&gt;"",F82&lt;&gt;"",E82&lt;=46132,F82&gt;=46126),'Task Assignment'!J81,"")</f>
        <v/>
      </c>
      <c r="N82" s="58" t="str">
        <f aca="false">IF(AND(E82&lt;&gt;"",F82&lt;&gt;"",E82&lt;=46139,F82&gt;=46133),'Task Assignment'!J81,"")</f>
        <v/>
      </c>
    </row>
    <row r="85" customFormat="false" ht="15" hidden="false" customHeight="false" outlineLevel="0" collapsed="false">
      <c r="A85" s="59" t="s">
        <v>239</v>
      </c>
      <c r="B85" s="60" t="s">
        <v>240</v>
      </c>
      <c r="C85" s="61" t="s">
        <v>241</v>
      </c>
      <c r="D85" s="62" t="s">
        <v>242</v>
      </c>
    </row>
    <row r="87" customFormat="false" ht="15" hidden="false" customHeight="false" outlineLevel="0" collapsed="false">
      <c r="A87" s="63" t="s">
        <v>243</v>
      </c>
      <c r="B87" s="63"/>
      <c r="C87" s="63"/>
      <c r="D87" s="63"/>
      <c r="E87" s="63"/>
      <c r="F87" s="63"/>
    </row>
  </sheetData>
  <autoFilter ref="A2:N82"/>
  <mergeCells count="2">
    <mergeCell ref="A1:N1"/>
    <mergeCell ref="A87:F87"/>
  </mergeCells>
  <conditionalFormatting sqref="G3:N82">
    <cfRule type="expression" priority="2" aboveAverage="0" equalAverage="0" bottom="0" percent="0" rank="0" text="" dxfId="12">
      <formula>AND(G3&lt;&gt;"",G3&gt;=1)</formula>
    </cfRule>
    <cfRule type="expression" priority="3" aboveAverage="0" equalAverage="0" bottom="0" percent="0" rank="0" text="" dxfId="13">
      <formula>AND(G3&lt;&gt;"",G3&gt;0,G3&lt;1)</formula>
    </cfRule>
    <cfRule type="expression" priority="4" aboveAverage="0" equalAverage="0" bottom="0" percent="0" rank="0" text="" dxfId="14">
      <formula>AND(G3&lt;&gt;"",G3=0)</formula>
    </cfRule>
  </conditionalFormatting>
  <conditionalFormatting sqref="C3:C82">
    <cfRule type="cellIs" priority="5" operator="equal" aboveAverage="0" equalAverage="0" bottom="0" percent="0" rank="0" text="" dxfId="15">
      <formula>"Art"</formula>
    </cfRule>
    <cfRule type="cellIs" priority="6" operator="equal" aboveAverage="0" equalAverage="0" bottom="0" percent="0" rank="0" text="" dxfId="16">
      <formula>"Dev"</formula>
    </cfRule>
    <cfRule type="cellIs" priority="7" operator="equal" aboveAverage="0" equalAverage="0" bottom="0" percent="0" rank="0" text="" dxfId="17">
      <formula>"Design"</formula>
    </cfRule>
    <cfRule type="cellIs" priority="8" operator="equal" aboveAverage="0" equalAverage="0" bottom="0" percent="0" rank="0" text="" dxfId="18">
      <formula>"Multimedia"</formula>
    </cfRule>
    <cfRule type="cellIs" priority="9" operator="equal" aboveAverage="0" equalAverage="0" bottom="0" percent="0" rank="0" text="" dxfId="19">
      <formula>"PM"</formula>
    </cfRule>
    <cfRule type="cellIs" priority="10" operator="equal" aboveAverage="0" equalAverage="0" bottom="0" percent="0" rank="0" text="" dxfId="20">
      <formula>"OP"</formula>
    </cfRule>
    <cfRule type="cellIs" priority="11" operator="equal" aboveAverage="0" equalAverage="0" bottom="0" percent="0" rank="0" text="" dxfId="21">
      <formula>"QC"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6" activeCellId="0" sqref="E36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5" t="s">
        <v>244</v>
      </c>
      <c r="B1" s="25" t="s">
        <v>245</v>
      </c>
      <c r="C1" s="25" t="s">
        <v>246</v>
      </c>
      <c r="D1" s="25" t="s">
        <v>57</v>
      </c>
      <c r="E1" s="25" t="s">
        <v>247</v>
      </c>
      <c r="F1" s="25" t="s">
        <v>248</v>
      </c>
      <c r="G1" s="25" t="s">
        <v>16</v>
      </c>
    </row>
    <row r="2" customFormat="false" ht="15" hidden="false" customHeight="false" outlineLevel="0" collapsed="false">
      <c r="A2" s="28" t="n">
        <v>1</v>
      </c>
      <c r="B2" s="28" t="s">
        <v>249</v>
      </c>
      <c r="C2" s="28" t="s">
        <v>93</v>
      </c>
      <c r="D2" s="29" t="s">
        <v>44</v>
      </c>
      <c r="E2" s="28" t="s">
        <v>7</v>
      </c>
      <c r="F2" s="28" t="s">
        <v>250</v>
      </c>
      <c r="G2" s="28" t="s">
        <v>251</v>
      </c>
    </row>
    <row r="3" customFormat="false" ht="15" hidden="false" customHeight="false" outlineLevel="0" collapsed="false">
      <c r="A3" s="35" t="n">
        <v>2</v>
      </c>
      <c r="B3" s="35" t="s">
        <v>252</v>
      </c>
      <c r="C3" s="35" t="s">
        <v>99</v>
      </c>
      <c r="D3" s="29" t="s">
        <v>44</v>
      </c>
      <c r="E3" s="35" t="s">
        <v>31</v>
      </c>
      <c r="F3" s="35" t="s">
        <v>253</v>
      </c>
      <c r="G3" s="35" t="s">
        <v>251</v>
      </c>
    </row>
    <row r="4" customFormat="false" ht="15" hidden="false" customHeight="false" outlineLevel="0" collapsed="false">
      <c r="A4" s="28" t="n">
        <v>3</v>
      </c>
      <c r="B4" s="28" t="s">
        <v>254</v>
      </c>
      <c r="C4" s="28" t="s">
        <v>255</v>
      </c>
      <c r="D4" s="29" t="s">
        <v>44</v>
      </c>
      <c r="E4" s="28" t="s">
        <v>25</v>
      </c>
      <c r="F4" s="28" t="s">
        <v>256</v>
      </c>
      <c r="G4" s="28" t="s">
        <v>251</v>
      </c>
    </row>
    <row r="5" customFormat="false" ht="15" hidden="false" customHeight="false" outlineLevel="0" collapsed="false">
      <c r="A5" s="35" t="n">
        <v>4</v>
      </c>
      <c r="B5" s="35" t="s">
        <v>257</v>
      </c>
      <c r="C5" s="35" t="s">
        <v>110</v>
      </c>
      <c r="D5" s="44" t="s">
        <v>48</v>
      </c>
      <c r="E5" s="35" t="s">
        <v>28</v>
      </c>
      <c r="F5" s="35" t="s">
        <v>258</v>
      </c>
      <c r="G5" s="35" t="s">
        <v>251</v>
      </c>
    </row>
    <row r="6" customFormat="false" ht="15" hidden="false" customHeight="false" outlineLevel="0" collapsed="false">
      <c r="A6" s="28" t="n">
        <v>5</v>
      </c>
      <c r="B6" s="28" t="s">
        <v>259</v>
      </c>
      <c r="C6" s="28" t="s">
        <v>153</v>
      </c>
      <c r="D6" s="44" t="s">
        <v>48</v>
      </c>
      <c r="E6" s="28" t="s">
        <v>25</v>
      </c>
      <c r="F6" s="28" t="s">
        <v>260</v>
      </c>
      <c r="G6" s="28" t="s">
        <v>251</v>
      </c>
    </row>
    <row r="7" customFormat="false" ht="15" hidden="false" customHeight="false" outlineLevel="0" collapsed="false">
      <c r="A7" s="35" t="n">
        <v>6</v>
      </c>
      <c r="B7" s="35" t="s">
        <v>261</v>
      </c>
      <c r="C7" s="35" t="s">
        <v>153</v>
      </c>
      <c r="D7" s="44" t="s">
        <v>48</v>
      </c>
      <c r="E7" s="35" t="s">
        <v>151</v>
      </c>
      <c r="F7" s="35" t="s">
        <v>262</v>
      </c>
      <c r="G7" s="35" t="s">
        <v>251</v>
      </c>
    </row>
    <row r="8" customFormat="false" ht="15" hidden="false" customHeight="false" outlineLevel="0" collapsed="false">
      <c r="A8" s="28" t="n">
        <v>7</v>
      </c>
      <c r="B8" s="28" t="s">
        <v>263</v>
      </c>
      <c r="C8" s="28" t="s">
        <v>264</v>
      </c>
      <c r="D8" s="44" t="s">
        <v>48</v>
      </c>
      <c r="E8" s="28" t="s">
        <v>28</v>
      </c>
      <c r="F8" s="28" t="s">
        <v>265</v>
      </c>
      <c r="G8" s="28" t="s">
        <v>251</v>
      </c>
    </row>
    <row r="9" customFormat="false" ht="15" hidden="false" customHeight="false" outlineLevel="0" collapsed="false">
      <c r="A9" s="35" t="n">
        <v>8</v>
      </c>
      <c r="B9" s="35" t="s">
        <v>266</v>
      </c>
      <c r="C9" s="35" t="s">
        <v>267</v>
      </c>
      <c r="D9" s="31" t="s">
        <v>53</v>
      </c>
      <c r="E9" s="35" t="s">
        <v>37</v>
      </c>
      <c r="F9" s="35" t="s">
        <v>268</v>
      </c>
      <c r="G9" s="35" t="s">
        <v>251</v>
      </c>
    </row>
    <row r="10" customFormat="false" ht="15" hidden="false" customHeight="false" outlineLevel="0" collapsed="false">
      <c r="A10" s="28" t="n">
        <v>9</v>
      </c>
      <c r="B10" s="28" t="s">
        <v>269</v>
      </c>
      <c r="C10" s="28" t="s">
        <v>270</v>
      </c>
      <c r="D10" s="31" t="s">
        <v>53</v>
      </c>
      <c r="E10" s="28" t="s">
        <v>35</v>
      </c>
      <c r="F10" s="28" t="s">
        <v>271</v>
      </c>
      <c r="G10" s="28" t="s">
        <v>251</v>
      </c>
    </row>
    <row r="11" customFormat="false" ht="15" hidden="false" customHeight="false" outlineLevel="0" collapsed="false">
      <c r="A11" s="35" t="n">
        <v>10</v>
      </c>
      <c r="B11" s="35" t="s">
        <v>226</v>
      </c>
      <c r="C11" s="35" t="s">
        <v>11</v>
      </c>
      <c r="D11" s="31" t="s">
        <v>53</v>
      </c>
      <c r="E11" s="35" t="s">
        <v>7</v>
      </c>
      <c r="F11" s="35" t="s">
        <v>272</v>
      </c>
      <c r="G11" s="35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5.75" hidden="false" customHeight="true" outlineLevel="0" collapsed="false">
      <c r="A1" s="25" t="s">
        <v>56</v>
      </c>
      <c r="B1" s="25" t="s">
        <v>273</v>
      </c>
      <c r="C1" s="25" t="s">
        <v>274</v>
      </c>
      <c r="D1" s="25" t="s">
        <v>275</v>
      </c>
      <c r="E1" s="25" t="s">
        <v>276</v>
      </c>
      <c r="F1" s="25" t="s">
        <v>277</v>
      </c>
      <c r="G1" s="25" t="s">
        <v>247</v>
      </c>
      <c r="H1" s="25" t="s">
        <v>16</v>
      </c>
    </row>
    <row r="2" customFormat="false" ht="15" hidden="false" customHeight="false" outlineLevel="0" collapsed="false">
      <c r="A2" s="28" t="s">
        <v>278</v>
      </c>
      <c r="B2" s="28" t="s">
        <v>279</v>
      </c>
      <c r="C2" s="31" t="s">
        <v>280</v>
      </c>
      <c r="D2" s="31" t="s">
        <v>280</v>
      </c>
      <c r="E2" s="28" t="s">
        <v>26</v>
      </c>
      <c r="F2" s="28" t="s">
        <v>281</v>
      </c>
      <c r="G2" s="28" t="s">
        <v>7</v>
      </c>
      <c r="H2" s="28" t="s">
        <v>282</v>
      </c>
    </row>
    <row r="3" customFormat="false" ht="15" hidden="false" customHeight="false" outlineLevel="0" collapsed="false">
      <c r="A3" s="35" t="s">
        <v>283</v>
      </c>
      <c r="B3" s="35" t="s">
        <v>284</v>
      </c>
      <c r="C3" s="41" t="s">
        <v>285</v>
      </c>
      <c r="D3" s="31" t="s">
        <v>280</v>
      </c>
      <c r="E3" s="35" t="s">
        <v>26</v>
      </c>
      <c r="F3" s="35" t="s">
        <v>286</v>
      </c>
      <c r="G3" s="35" t="s">
        <v>151</v>
      </c>
      <c r="H3" s="35" t="s">
        <v>282</v>
      </c>
    </row>
    <row r="4" customFormat="false" ht="15" hidden="false" customHeight="false" outlineLevel="0" collapsed="false">
      <c r="A4" s="28" t="s">
        <v>287</v>
      </c>
      <c r="B4" s="28" t="s">
        <v>288</v>
      </c>
      <c r="C4" s="41" t="s">
        <v>285</v>
      </c>
      <c r="D4" s="41" t="s">
        <v>285</v>
      </c>
      <c r="E4" s="28" t="s">
        <v>23</v>
      </c>
      <c r="F4" s="28" t="s">
        <v>289</v>
      </c>
      <c r="G4" s="28" t="s">
        <v>25</v>
      </c>
      <c r="H4" s="28" t="s">
        <v>282</v>
      </c>
    </row>
    <row r="5" customFormat="false" ht="15" hidden="false" customHeight="false" outlineLevel="0" collapsed="false">
      <c r="A5" s="35" t="s">
        <v>290</v>
      </c>
      <c r="B5" s="35" t="s">
        <v>291</v>
      </c>
      <c r="C5" s="41" t="s">
        <v>285</v>
      </c>
      <c r="D5" s="31" t="s">
        <v>280</v>
      </c>
      <c r="E5" s="35" t="s">
        <v>292</v>
      </c>
      <c r="F5" s="35" t="s">
        <v>293</v>
      </c>
      <c r="G5" s="35" t="s">
        <v>37</v>
      </c>
      <c r="H5" s="35" t="s">
        <v>282</v>
      </c>
    </row>
    <row r="6" customFormat="false" ht="15" hidden="false" customHeight="false" outlineLevel="0" collapsed="false">
      <c r="A6" s="28" t="s">
        <v>294</v>
      </c>
      <c r="B6" s="28" t="s">
        <v>295</v>
      </c>
      <c r="C6" s="31" t="s">
        <v>280</v>
      </c>
      <c r="D6" s="41" t="s">
        <v>285</v>
      </c>
      <c r="E6" s="28" t="s">
        <v>6</v>
      </c>
      <c r="F6" s="28" t="s">
        <v>296</v>
      </c>
      <c r="G6" s="28" t="s">
        <v>7</v>
      </c>
      <c r="H6" s="28" t="s">
        <v>282</v>
      </c>
    </row>
    <row r="7" customFormat="false" ht="15" hidden="false" customHeight="false" outlineLevel="0" collapsed="false">
      <c r="A7" s="35" t="s">
        <v>297</v>
      </c>
      <c r="B7" s="35" t="s">
        <v>298</v>
      </c>
      <c r="C7" s="41" t="s">
        <v>285</v>
      </c>
      <c r="D7" s="41" t="s">
        <v>285</v>
      </c>
      <c r="E7" s="35" t="s">
        <v>32</v>
      </c>
      <c r="F7" s="35" t="s">
        <v>299</v>
      </c>
      <c r="G7" s="35" t="s">
        <v>33</v>
      </c>
      <c r="H7" s="35" t="s">
        <v>282</v>
      </c>
    </row>
    <row r="8" customFormat="false" ht="15" hidden="false" customHeight="false" outlineLevel="0" collapsed="false">
      <c r="A8" s="28" t="s">
        <v>300</v>
      </c>
      <c r="B8" s="28" t="s">
        <v>301</v>
      </c>
      <c r="C8" s="41" t="s">
        <v>285</v>
      </c>
      <c r="D8" s="31" t="s">
        <v>280</v>
      </c>
      <c r="E8" s="28" t="s">
        <v>26</v>
      </c>
      <c r="F8" s="28" t="s">
        <v>302</v>
      </c>
      <c r="G8" s="28" t="s">
        <v>28</v>
      </c>
      <c r="H8" s="28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5" min="4" style="0" width="30"/>
    <col collapsed="false" customWidth="true" hidden="false" outlineLevel="0" max="6" min="6" style="0" width="25"/>
    <col collapsed="false" customWidth="true" hidden="false" outlineLevel="0" max="7" min="7" style="0" width="11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25" t="s">
        <v>303</v>
      </c>
      <c r="B1" s="25" t="s">
        <v>304</v>
      </c>
      <c r="C1" s="25" t="s">
        <v>19</v>
      </c>
      <c r="D1" s="25" t="s">
        <v>305</v>
      </c>
      <c r="E1" s="25" t="s">
        <v>306</v>
      </c>
      <c r="F1" s="25" t="s">
        <v>307</v>
      </c>
      <c r="G1" s="25" t="s">
        <v>308</v>
      </c>
      <c r="H1" s="25" t="s">
        <v>66</v>
      </c>
    </row>
    <row r="2" customFormat="false" ht="15" hidden="false" customHeight="false" outlineLevel="0" collapsed="false">
      <c r="A2" s="64" t="s">
        <v>309</v>
      </c>
      <c r="B2" s="65" t="s">
        <v>310</v>
      </c>
      <c r="C2" s="66" t="s">
        <v>23</v>
      </c>
      <c r="D2" s="67"/>
      <c r="E2" s="67"/>
      <c r="F2" s="67"/>
      <c r="G2" s="68"/>
      <c r="H2" s="67"/>
    </row>
    <row r="3" customFormat="false" ht="15" hidden="false" customHeight="false" outlineLevel="0" collapsed="false">
      <c r="A3" s="64" t="s">
        <v>309</v>
      </c>
      <c r="B3" s="65" t="s">
        <v>310</v>
      </c>
      <c r="C3" s="69" t="s">
        <v>26</v>
      </c>
      <c r="D3" s="67"/>
      <c r="E3" s="67"/>
      <c r="F3" s="67"/>
      <c r="G3" s="68"/>
      <c r="H3" s="67"/>
    </row>
    <row r="4" customFormat="false" ht="15" hidden="false" customHeight="false" outlineLevel="0" collapsed="false">
      <c r="A4" s="64" t="s">
        <v>309</v>
      </c>
      <c r="B4" s="65" t="s">
        <v>310</v>
      </c>
      <c r="C4" s="70" t="s">
        <v>29</v>
      </c>
      <c r="D4" s="67"/>
      <c r="E4" s="67"/>
      <c r="F4" s="67"/>
      <c r="G4" s="68"/>
      <c r="H4" s="67"/>
    </row>
    <row r="5" customFormat="false" ht="15" hidden="false" customHeight="false" outlineLevel="0" collapsed="false">
      <c r="A5" s="64" t="s">
        <v>309</v>
      </c>
      <c r="B5" s="65" t="s">
        <v>310</v>
      </c>
      <c r="C5" s="71" t="s">
        <v>32</v>
      </c>
      <c r="D5" s="67"/>
      <c r="E5" s="67"/>
      <c r="F5" s="67"/>
      <c r="G5" s="68"/>
      <c r="H5" s="67"/>
    </row>
    <row r="6" customFormat="false" ht="15" hidden="false" customHeight="false" outlineLevel="0" collapsed="false">
      <c r="A6" s="64" t="s">
        <v>309</v>
      </c>
      <c r="B6" s="65" t="s">
        <v>310</v>
      </c>
      <c r="C6" s="72" t="s">
        <v>6</v>
      </c>
      <c r="D6" s="67"/>
      <c r="E6" s="67"/>
      <c r="F6" s="67"/>
      <c r="G6" s="68"/>
      <c r="H6" s="67"/>
    </row>
    <row r="7" customFormat="false" ht="15" hidden="false" customHeight="false" outlineLevel="0" collapsed="false">
      <c r="A7" s="64" t="s">
        <v>309</v>
      </c>
      <c r="B7" s="65" t="s">
        <v>310</v>
      </c>
      <c r="C7" s="73" t="s">
        <v>34</v>
      </c>
      <c r="D7" s="67"/>
      <c r="E7" s="67"/>
      <c r="F7" s="67"/>
      <c r="G7" s="68"/>
      <c r="H7" s="67"/>
    </row>
    <row r="8" customFormat="false" ht="15" hidden="false" customHeight="false" outlineLevel="0" collapsed="false">
      <c r="A8" s="64" t="s">
        <v>309</v>
      </c>
      <c r="B8" s="65" t="s">
        <v>310</v>
      </c>
      <c r="C8" s="74" t="s">
        <v>36</v>
      </c>
      <c r="D8" s="67"/>
      <c r="E8" s="67"/>
      <c r="F8" s="67"/>
      <c r="G8" s="68"/>
      <c r="H8" s="67"/>
    </row>
    <row r="9" customFormat="false" ht="15" hidden="false" customHeight="false" outlineLevel="0" collapsed="false">
      <c r="A9" s="64" t="s">
        <v>311</v>
      </c>
      <c r="B9" s="65" t="s">
        <v>312</v>
      </c>
      <c r="C9" s="66" t="s">
        <v>23</v>
      </c>
      <c r="D9" s="67"/>
      <c r="E9" s="67"/>
      <c r="F9" s="67"/>
      <c r="G9" s="68"/>
      <c r="H9" s="67"/>
    </row>
    <row r="10" customFormat="false" ht="15" hidden="false" customHeight="false" outlineLevel="0" collapsed="false">
      <c r="A10" s="64" t="s">
        <v>311</v>
      </c>
      <c r="B10" s="65" t="s">
        <v>312</v>
      </c>
      <c r="C10" s="69" t="s">
        <v>26</v>
      </c>
      <c r="D10" s="67"/>
      <c r="E10" s="67"/>
      <c r="F10" s="67"/>
      <c r="G10" s="68"/>
      <c r="H10" s="67"/>
    </row>
    <row r="11" customFormat="false" ht="15" hidden="false" customHeight="false" outlineLevel="0" collapsed="false">
      <c r="A11" s="64" t="s">
        <v>311</v>
      </c>
      <c r="B11" s="65" t="s">
        <v>312</v>
      </c>
      <c r="C11" s="70" t="s">
        <v>29</v>
      </c>
      <c r="D11" s="67"/>
      <c r="E11" s="67"/>
      <c r="F11" s="67"/>
      <c r="G11" s="68"/>
      <c r="H11" s="67"/>
    </row>
    <row r="12" customFormat="false" ht="15" hidden="false" customHeight="false" outlineLevel="0" collapsed="false">
      <c r="A12" s="64" t="s">
        <v>311</v>
      </c>
      <c r="B12" s="65" t="s">
        <v>312</v>
      </c>
      <c r="C12" s="71" t="s">
        <v>32</v>
      </c>
      <c r="D12" s="67"/>
      <c r="E12" s="67"/>
      <c r="F12" s="67"/>
      <c r="G12" s="68"/>
      <c r="H12" s="67"/>
    </row>
    <row r="13" customFormat="false" ht="15" hidden="false" customHeight="false" outlineLevel="0" collapsed="false">
      <c r="A13" s="64" t="s">
        <v>311</v>
      </c>
      <c r="B13" s="65" t="s">
        <v>312</v>
      </c>
      <c r="C13" s="72" t="s">
        <v>6</v>
      </c>
      <c r="D13" s="67"/>
      <c r="E13" s="67"/>
      <c r="F13" s="67"/>
      <c r="G13" s="68"/>
      <c r="H13" s="67"/>
    </row>
    <row r="14" customFormat="false" ht="15" hidden="false" customHeight="false" outlineLevel="0" collapsed="false">
      <c r="A14" s="64" t="s">
        <v>311</v>
      </c>
      <c r="B14" s="65" t="s">
        <v>312</v>
      </c>
      <c r="C14" s="73" t="s">
        <v>34</v>
      </c>
      <c r="D14" s="67"/>
      <c r="E14" s="67"/>
      <c r="F14" s="67"/>
      <c r="G14" s="68"/>
      <c r="H14" s="67"/>
    </row>
    <row r="15" customFormat="false" ht="15" hidden="false" customHeight="false" outlineLevel="0" collapsed="false">
      <c r="A15" s="64" t="s">
        <v>311</v>
      </c>
      <c r="B15" s="65" t="s">
        <v>312</v>
      </c>
      <c r="C15" s="74" t="s">
        <v>36</v>
      </c>
      <c r="D15" s="67"/>
      <c r="E15" s="67"/>
      <c r="F15" s="67"/>
      <c r="G15" s="68"/>
      <c r="H15" s="67"/>
    </row>
    <row r="16" customFormat="false" ht="15" hidden="false" customHeight="false" outlineLevel="0" collapsed="false">
      <c r="A16" s="64" t="s">
        <v>313</v>
      </c>
      <c r="B16" s="65" t="s">
        <v>314</v>
      </c>
      <c r="C16" s="66" t="s">
        <v>23</v>
      </c>
      <c r="D16" s="67"/>
      <c r="E16" s="67"/>
      <c r="F16" s="67"/>
      <c r="G16" s="68"/>
      <c r="H16" s="67"/>
    </row>
    <row r="17" customFormat="false" ht="15" hidden="false" customHeight="false" outlineLevel="0" collapsed="false">
      <c r="A17" s="64" t="s">
        <v>313</v>
      </c>
      <c r="B17" s="65" t="s">
        <v>314</v>
      </c>
      <c r="C17" s="69" t="s">
        <v>26</v>
      </c>
      <c r="D17" s="67"/>
      <c r="E17" s="67"/>
      <c r="F17" s="67"/>
      <c r="G17" s="68"/>
      <c r="H17" s="67"/>
    </row>
    <row r="18" customFormat="false" ht="15" hidden="false" customHeight="false" outlineLevel="0" collapsed="false">
      <c r="A18" s="64" t="s">
        <v>313</v>
      </c>
      <c r="B18" s="65" t="s">
        <v>314</v>
      </c>
      <c r="C18" s="70" t="s">
        <v>29</v>
      </c>
      <c r="D18" s="67"/>
      <c r="E18" s="67"/>
      <c r="F18" s="67"/>
      <c r="G18" s="68"/>
      <c r="H18" s="67"/>
    </row>
    <row r="19" customFormat="false" ht="15" hidden="false" customHeight="false" outlineLevel="0" collapsed="false">
      <c r="A19" s="64" t="s">
        <v>313</v>
      </c>
      <c r="B19" s="65" t="s">
        <v>314</v>
      </c>
      <c r="C19" s="71" t="s">
        <v>32</v>
      </c>
      <c r="D19" s="67"/>
      <c r="E19" s="67"/>
      <c r="F19" s="67"/>
      <c r="G19" s="68"/>
      <c r="H19" s="67"/>
    </row>
    <row r="20" customFormat="false" ht="15" hidden="false" customHeight="false" outlineLevel="0" collapsed="false">
      <c r="A20" s="64" t="s">
        <v>313</v>
      </c>
      <c r="B20" s="65" t="s">
        <v>314</v>
      </c>
      <c r="C20" s="72" t="s">
        <v>6</v>
      </c>
      <c r="D20" s="67"/>
      <c r="E20" s="67"/>
      <c r="F20" s="67"/>
      <c r="G20" s="68"/>
      <c r="H20" s="67"/>
    </row>
    <row r="21" customFormat="false" ht="15" hidden="false" customHeight="false" outlineLevel="0" collapsed="false">
      <c r="A21" s="64" t="s">
        <v>313</v>
      </c>
      <c r="B21" s="65" t="s">
        <v>314</v>
      </c>
      <c r="C21" s="73" t="s">
        <v>34</v>
      </c>
      <c r="D21" s="67"/>
      <c r="E21" s="67"/>
      <c r="F21" s="67"/>
      <c r="G21" s="68"/>
      <c r="H21" s="67"/>
    </row>
    <row r="22" customFormat="false" ht="15" hidden="false" customHeight="false" outlineLevel="0" collapsed="false">
      <c r="A22" s="64" t="s">
        <v>313</v>
      </c>
      <c r="B22" s="65" t="s">
        <v>314</v>
      </c>
      <c r="C22" s="74" t="s">
        <v>36</v>
      </c>
      <c r="D22" s="67"/>
      <c r="E22" s="67"/>
      <c r="F22" s="67"/>
      <c r="G22" s="68"/>
      <c r="H22" s="67"/>
    </row>
    <row r="23" customFormat="false" ht="15" hidden="false" customHeight="false" outlineLevel="0" collapsed="false">
      <c r="A23" s="64" t="s">
        <v>315</v>
      </c>
      <c r="B23" s="65" t="s">
        <v>316</v>
      </c>
      <c r="C23" s="66" t="s">
        <v>23</v>
      </c>
      <c r="D23" s="67"/>
      <c r="E23" s="67"/>
      <c r="F23" s="67"/>
      <c r="G23" s="68"/>
      <c r="H23" s="67"/>
    </row>
    <row r="24" customFormat="false" ht="15" hidden="false" customHeight="false" outlineLevel="0" collapsed="false">
      <c r="A24" s="64" t="s">
        <v>315</v>
      </c>
      <c r="B24" s="65" t="s">
        <v>316</v>
      </c>
      <c r="C24" s="69" t="s">
        <v>26</v>
      </c>
      <c r="D24" s="67"/>
      <c r="E24" s="67"/>
      <c r="F24" s="67"/>
      <c r="G24" s="68"/>
      <c r="H24" s="67"/>
    </row>
    <row r="25" customFormat="false" ht="15" hidden="false" customHeight="false" outlineLevel="0" collapsed="false">
      <c r="A25" s="64" t="s">
        <v>315</v>
      </c>
      <c r="B25" s="65" t="s">
        <v>316</v>
      </c>
      <c r="C25" s="70" t="s">
        <v>29</v>
      </c>
      <c r="D25" s="67"/>
      <c r="E25" s="67"/>
      <c r="F25" s="67"/>
      <c r="G25" s="68"/>
      <c r="H25" s="67"/>
    </row>
    <row r="26" customFormat="false" ht="15" hidden="false" customHeight="false" outlineLevel="0" collapsed="false">
      <c r="A26" s="64" t="s">
        <v>315</v>
      </c>
      <c r="B26" s="65" t="s">
        <v>316</v>
      </c>
      <c r="C26" s="71" t="s">
        <v>32</v>
      </c>
      <c r="D26" s="67"/>
      <c r="E26" s="67"/>
      <c r="F26" s="67"/>
      <c r="G26" s="68"/>
      <c r="H26" s="67"/>
    </row>
    <row r="27" customFormat="false" ht="15" hidden="false" customHeight="false" outlineLevel="0" collapsed="false">
      <c r="A27" s="64" t="s">
        <v>315</v>
      </c>
      <c r="B27" s="65" t="s">
        <v>316</v>
      </c>
      <c r="C27" s="72" t="s">
        <v>6</v>
      </c>
      <c r="D27" s="67"/>
      <c r="E27" s="67"/>
      <c r="F27" s="67"/>
      <c r="G27" s="68"/>
      <c r="H27" s="67"/>
    </row>
    <row r="28" customFormat="false" ht="15" hidden="false" customHeight="false" outlineLevel="0" collapsed="false">
      <c r="A28" s="64" t="s">
        <v>315</v>
      </c>
      <c r="B28" s="65" t="s">
        <v>316</v>
      </c>
      <c r="C28" s="73" t="s">
        <v>34</v>
      </c>
      <c r="D28" s="67"/>
      <c r="E28" s="67"/>
      <c r="F28" s="67"/>
      <c r="G28" s="68"/>
      <c r="H28" s="67"/>
    </row>
    <row r="29" customFormat="false" ht="15" hidden="false" customHeight="false" outlineLevel="0" collapsed="false">
      <c r="A29" s="64" t="s">
        <v>315</v>
      </c>
      <c r="B29" s="65" t="s">
        <v>316</v>
      </c>
      <c r="C29" s="74" t="s">
        <v>36</v>
      </c>
      <c r="D29" s="67"/>
      <c r="E29" s="67"/>
      <c r="F29" s="67"/>
      <c r="G29" s="68"/>
      <c r="H29" s="67"/>
    </row>
    <row r="30" customFormat="false" ht="15" hidden="false" customHeight="false" outlineLevel="0" collapsed="false">
      <c r="A30" s="64" t="s">
        <v>317</v>
      </c>
      <c r="B30" s="65" t="s">
        <v>318</v>
      </c>
      <c r="C30" s="66" t="s">
        <v>23</v>
      </c>
      <c r="D30" s="67"/>
      <c r="E30" s="67"/>
      <c r="F30" s="67"/>
      <c r="G30" s="68"/>
      <c r="H30" s="67"/>
    </row>
    <row r="31" customFormat="false" ht="15" hidden="false" customHeight="false" outlineLevel="0" collapsed="false">
      <c r="A31" s="64" t="s">
        <v>317</v>
      </c>
      <c r="B31" s="65" t="s">
        <v>318</v>
      </c>
      <c r="C31" s="69" t="s">
        <v>26</v>
      </c>
      <c r="D31" s="67"/>
      <c r="E31" s="67"/>
      <c r="F31" s="67"/>
      <c r="G31" s="68"/>
      <c r="H31" s="67"/>
    </row>
    <row r="32" customFormat="false" ht="15" hidden="false" customHeight="false" outlineLevel="0" collapsed="false">
      <c r="A32" s="64" t="s">
        <v>317</v>
      </c>
      <c r="B32" s="65" t="s">
        <v>318</v>
      </c>
      <c r="C32" s="70" t="s">
        <v>29</v>
      </c>
      <c r="D32" s="67"/>
      <c r="E32" s="67"/>
      <c r="F32" s="67"/>
      <c r="G32" s="68"/>
      <c r="H32" s="67"/>
    </row>
    <row r="33" customFormat="false" ht="15" hidden="false" customHeight="false" outlineLevel="0" collapsed="false">
      <c r="A33" s="64" t="s">
        <v>317</v>
      </c>
      <c r="B33" s="65" t="s">
        <v>318</v>
      </c>
      <c r="C33" s="71" t="s">
        <v>32</v>
      </c>
      <c r="D33" s="67"/>
      <c r="E33" s="67"/>
      <c r="F33" s="67"/>
      <c r="G33" s="68"/>
      <c r="H33" s="67"/>
    </row>
    <row r="34" customFormat="false" ht="15" hidden="false" customHeight="false" outlineLevel="0" collapsed="false">
      <c r="A34" s="64" t="s">
        <v>317</v>
      </c>
      <c r="B34" s="65" t="s">
        <v>318</v>
      </c>
      <c r="C34" s="72" t="s">
        <v>6</v>
      </c>
      <c r="D34" s="67"/>
      <c r="E34" s="67"/>
      <c r="F34" s="67"/>
      <c r="G34" s="68"/>
      <c r="H34" s="67"/>
    </row>
    <row r="35" customFormat="false" ht="15" hidden="false" customHeight="false" outlineLevel="0" collapsed="false">
      <c r="A35" s="64" t="s">
        <v>317</v>
      </c>
      <c r="B35" s="65" t="s">
        <v>318</v>
      </c>
      <c r="C35" s="73" t="s">
        <v>34</v>
      </c>
      <c r="D35" s="67"/>
      <c r="E35" s="67"/>
      <c r="F35" s="67"/>
      <c r="G35" s="68"/>
      <c r="H35" s="67"/>
    </row>
    <row r="36" customFormat="false" ht="15" hidden="false" customHeight="false" outlineLevel="0" collapsed="false">
      <c r="A36" s="64" t="s">
        <v>317</v>
      </c>
      <c r="B36" s="65" t="s">
        <v>318</v>
      </c>
      <c r="C36" s="74" t="s">
        <v>36</v>
      </c>
      <c r="D36" s="67"/>
      <c r="E36" s="67"/>
      <c r="F36" s="67"/>
      <c r="G36" s="68"/>
      <c r="H36" s="67"/>
    </row>
    <row r="37" customFormat="false" ht="15" hidden="false" customHeight="false" outlineLevel="0" collapsed="false">
      <c r="A37" s="64" t="s">
        <v>319</v>
      </c>
      <c r="B37" s="65" t="s">
        <v>320</v>
      </c>
      <c r="C37" s="66" t="s">
        <v>23</v>
      </c>
      <c r="D37" s="67"/>
      <c r="E37" s="67"/>
      <c r="F37" s="67"/>
      <c r="G37" s="68"/>
      <c r="H37" s="67"/>
    </row>
    <row r="38" customFormat="false" ht="15" hidden="false" customHeight="false" outlineLevel="0" collapsed="false">
      <c r="A38" s="64" t="s">
        <v>319</v>
      </c>
      <c r="B38" s="65" t="s">
        <v>320</v>
      </c>
      <c r="C38" s="69" t="s">
        <v>26</v>
      </c>
      <c r="D38" s="67"/>
      <c r="E38" s="67"/>
      <c r="F38" s="67"/>
      <c r="G38" s="68"/>
      <c r="H38" s="67"/>
    </row>
    <row r="39" customFormat="false" ht="15" hidden="false" customHeight="false" outlineLevel="0" collapsed="false">
      <c r="A39" s="64" t="s">
        <v>319</v>
      </c>
      <c r="B39" s="65" t="s">
        <v>320</v>
      </c>
      <c r="C39" s="70" t="s">
        <v>29</v>
      </c>
      <c r="D39" s="67"/>
      <c r="E39" s="67"/>
      <c r="F39" s="67"/>
      <c r="G39" s="68"/>
      <c r="H39" s="67"/>
    </row>
    <row r="40" customFormat="false" ht="15" hidden="false" customHeight="false" outlineLevel="0" collapsed="false">
      <c r="A40" s="64" t="s">
        <v>319</v>
      </c>
      <c r="B40" s="65" t="s">
        <v>320</v>
      </c>
      <c r="C40" s="71" t="s">
        <v>32</v>
      </c>
      <c r="D40" s="67"/>
      <c r="E40" s="67"/>
      <c r="F40" s="67"/>
      <c r="G40" s="68"/>
      <c r="H40" s="67"/>
    </row>
    <row r="41" customFormat="false" ht="15" hidden="false" customHeight="false" outlineLevel="0" collapsed="false">
      <c r="A41" s="64" t="s">
        <v>319</v>
      </c>
      <c r="B41" s="65" t="s">
        <v>320</v>
      </c>
      <c r="C41" s="72" t="s">
        <v>6</v>
      </c>
      <c r="D41" s="67"/>
      <c r="E41" s="67"/>
      <c r="F41" s="67"/>
      <c r="G41" s="68"/>
      <c r="H41" s="67"/>
    </row>
    <row r="42" customFormat="false" ht="15" hidden="false" customHeight="false" outlineLevel="0" collapsed="false">
      <c r="A42" s="64" t="s">
        <v>319</v>
      </c>
      <c r="B42" s="65" t="s">
        <v>320</v>
      </c>
      <c r="C42" s="73" t="s">
        <v>34</v>
      </c>
      <c r="D42" s="67"/>
      <c r="E42" s="67"/>
      <c r="F42" s="67"/>
      <c r="G42" s="68"/>
      <c r="H42" s="67"/>
    </row>
    <row r="43" customFormat="false" ht="15" hidden="false" customHeight="false" outlineLevel="0" collapsed="false">
      <c r="A43" s="64" t="s">
        <v>319</v>
      </c>
      <c r="B43" s="65" t="s">
        <v>320</v>
      </c>
      <c r="C43" s="74" t="s">
        <v>36</v>
      </c>
      <c r="D43" s="67"/>
      <c r="E43" s="67"/>
      <c r="F43" s="67"/>
      <c r="G43" s="68"/>
      <c r="H43" s="67"/>
    </row>
    <row r="44" customFormat="false" ht="15" hidden="false" customHeight="false" outlineLevel="0" collapsed="false">
      <c r="A44" s="64" t="s">
        <v>321</v>
      </c>
      <c r="B44" s="65" t="s">
        <v>322</v>
      </c>
      <c r="C44" s="66" t="s">
        <v>23</v>
      </c>
      <c r="D44" s="67"/>
      <c r="E44" s="67"/>
      <c r="F44" s="67"/>
      <c r="G44" s="68"/>
      <c r="H44" s="67"/>
    </row>
    <row r="45" customFormat="false" ht="15" hidden="false" customHeight="false" outlineLevel="0" collapsed="false">
      <c r="A45" s="64" t="s">
        <v>321</v>
      </c>
      <c r="B45" s="65" t="s">
        <v>322</v>
      </c>
      <c r="C45" s="69" t="s">
        <v>26</v>
      </c>
      <c r="D45" s="67"/>
      <c r="E45" s="67"/>
      <c r="F45" s="67"/>
      <c r="G45" s="68"/>
      <c r="H45" s="67"/>
    </row>
    <row r="46" customFormat="false" ht="15" hidden="false" customHeight="false" outlineLevel="0" collapsed="false">
      <c r="A46" s="64" t="s">
        <v>321</v>
      </c>
      <c r="B46" s="65" t="s">
        <v>322</v>
      </c>
      <c r="C46" s="70" t="s">
        <v>29</v>
      </c>
      <c r="D46" s="67"/>
      <c r="E46" s="67"/>
      <c r="F46" s="67"/>
      <c r="G46" s="68"/>
      <c r="H46" s="67"/>
    </row>
    <row r="47" customFormat="false" ht="15" hidden="false" customHeight="false" outlineLevel="0" collapsed="false">
      <c r="A47" s="64" t="s">
        <v>321</v>
      </c>
      <c r="B47" s="65" t="s">
        <v>322</v>
      </c>
      <c r="C47" s="71" t="s">
        <v>32</v>
      </c>
      <c r="D47" s="67"/>
      <c r="E47" s="67"/>
      <c r="F47" s="67"/>
      <c r="G47" s="68"/>
      <c r="H47" s="67"/>
    </row>
    <row r="48" customFormat="false" ht="15" hidden="false" customHeight="false" outlineLevel="0" collapsed="false">
      <c r="A48" s="64" t="s">
        <v>321</v>
      </c>
      <c r="B48" s="65" t="s">
        <v>322</v>
      </c>
      <c r="C48" s="72" t="s">
        <v>6</v>
      </c>
      <c r="D48" s="67"/>
      <c r="E48" s="67"/>
      <c r="F48" s="67"/>
      <c r="G48" s="68"/>
      <c r="H48" s="67"/>
    </row>
    <row r="49" customFormat="false" ht="15" hidden="false" customHeight="false" outlineLevel="0" collapsed="false">
      <c r="A49" s="64" t="s">
        <v>321</v>
      </c>
      <c r="B49" s="65" t="s">
        <v>322</v>
      </c>
      <c r="C49" s="73" t="s">
        <v>34</v>
      </c>
      <c r="D49" s="67"/>
      <c r="E49" s="67"/>
      <c r="F49" s="67"/>
      <c r="G49" s="68"/>
      <c r="H49" s="67"/>
    </row>
    <row r="50" customFormat="false" ht="15" hidden="false" customHeight="false" outlineLevel="0" collapsed="false">
      <c r="A50" s="64" t="s">
        <v>321</v>
      </c>
      <c r="B50" s="65" t="s">
        <v>322</v>
      </c>
      <c r="C50" s="74" t="s">
        <v>36</v>
      </c>
      <c r="D50" s="67"/>
      <c r="E50" s="67"/>
      <c r="F50" s="67"/>
      <c r="G50" s="68"/>
      <c r="H50" s="67"/>
    </row>
    <row r="51" customFormat="false" ht="15" hidden="false" customHeight="false" outlineLevel="0" collapsed="false">
      <c r="A51" s="64" t="s">
        <v>323</v>
      </c>
      <c r="B51" s="65" t="s">
        <v>324</v>
      </c>
      <c r="C51" s="66" t="s">
        <v>23</v>
      </c>
      <c r="D51" s="67"/>
      <c r="E51" s="67"/>
      <c r="F51" s="67"/>
      <c r="G51" s="68"/>
      <c r="H51" s="67"/>
    </row>
    <row r="52" customFormat="false" ht="15" hidden="false" customHeight="false" outlineLevel="0" collapsed="false">
      <c r="A52" s="64" t="s">
        <v>323</v>
      </c>
      <c r="B52" s="65" t="s">
        <v>324</v>
      </c>
      <c r="C52" s="69" t="s">
        <v>26</v>
      </c>
      <c r="D52" s="67"/>
      <c r="E52" s="67"/>
      <c r="F52" s="67"/>
      <c r="G52" s="68"/>
      <c r="H52" s="67"/>
    </row>
    <row r="53" customFormat="false" ht="15" hidden="false" customHeight="false" outlineLevel="0" collapsed="false">
      <c r="A53" s="64" t="s">
        <v>323</v>
      </c>
      <c r="B53" s="65" t="s">
        <v>324</v>
      </c>
      <c r="C53" s="70" t="s">
        <v>29</v>
      </c>
      <c r="D53" s="67"/>
      <c r="E53" s="67"/>
      <c r="F53" s="67"/>
      <c r="G53" s="68"/>
      <c r="H53" s="67"/>
    </row>
    <row r="54" customFormat="false" ht="15" hidden="false" customHeight="false" outlineLevel="0" collapsed="false">
      <c r="A54" s="64" t="s">
        <v>323</v>
      </c>
      <c r="B54" s="65" t="s">
        <v>324</v>
      </c>
      <c r="C54" s="71" t="s">
        <v>32</v>
      </c>
      <c r="D54" s="67"/>
      <c r="E54" s="67"/>
      <c r="F54" s="67"/>
      <c r="G54" s="68"/>
      <c r="H54" s="67"/>
    </row>
    <row r="55" customFormat="false" ht="15" hidden="false" customHeight="false" outlineLevel="0" collapsed="false">
      <c r="A55" s="64" t="s">
        <v>323</v>
      </c>
      <c r="B55" s="65" t="s">
        <v>324</v>
      </c>
      <c r="C55" s="72" t="s">
        <v>6</v>
      </c>
      <c r="D55" s="67"/>
      <c r="E55" s="67"/>
      <c r="F55" s="67"/>
      <c r="G55" s="68"/>
      <c r="H55" s="67"/>
    </row>
    <row r="56" customFormat="false" ht="15" hidden="false" customHeight="false" outlineLevel="0" collapsed="false">
      <c r="A56" s="64" t="s">
        <v>323</v>
      </c>
      <c r="B56" s="65" t="s">
        <v>324</v>
      </c>
      <c r="C56" s="73" t="s">
        <v>34</v>
      </c>
      <c r="D56" s="67"/>
      <c r="E56" s="67"/>
      <c r="F56" s="67"/>
      <c r="G56" s="68"/>
      <c r="H56" s="67"/>
    </row>
    <row r="57" customFormat="false" ht="15" hidden="false" customHeight="false" outlineLevel="0" collapsed="false">
      <c r="A57" s="64" t="s">
        <v>323</v>
      </c>
      <c r="B57" s="65" t="s">
        <v>324</v>
      </c>
      <c r="C57" s="74" t="s">
        <v>36</v>
      </c>
      <c r="D57" s="67"/>
      <c r="E57" s="67"/>
      <c r="F57" s="67"/>
      <c r="G57" s="68"/>
      <c r="H57" s="6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59</v>
      </c>
      <c r="C1" s="0" t="s">
        <v>60</v>
      </c>
      <c r="D1" s="0" t="s">
        <v>61</v>
      </c>
      <c r="E1" s="0" t="s">
        <v>57</v>
      </c>
      <c r="F1" s="0" t="s">
        <v>64</v>
      </c>
      <c r="G1" s="0" t="s">
        <v>325</v>
      </c>
      <c r="H1" s="0" t="s">
        <v>326</v>
      </c>
      <c r="I1" s="0" t="s">
        <v>327</v>
      </c>
      <c r="J1" s="0" t="s">
        <v>328</v>
      </c>
    </row>
    <row r="2" customFormat="false" ht="15" hidden="false" customHeight="false" outlineLevel="0" collapsed="false">
      <c r="A2" s="0" t="s">
        <v>23</v>
      </c>
      <c r="B2" s="0" t="s">
        <v>25</v>
      </c>
      <c r="C2" s="0" t="s">
        <v>69</v>
      </c>
      <c r="D2" s="0" t="s">
        <v>70</v>
      </c>
      <c r="E2" s="0" t="s">
        <v>44</v>
      </c>
      <c r="F2" s="0" t="s">
        <v>329</v>
      </c>
      <c r="G2" s="0" t="s">
        <v>67</v>
      </c>
      <c r="H2" s="0" t="s">
        <v>251</v>
      </c>
      <c r="I2" s="0" t="s">
        <v>280</v>
      </c>
      <c r="J2" s="0" t="s">
        <v>282</v>
      </c>
    </row>
    <row r="3" customFormat="false" ht="15" hidden="false" customHeight="false" outlineLevel="0" collapsed="false">
      <c r="A3" s="0" t="s">
        <v>26</v>
      </c>
      <c r="B3" s="0" t="s">
        <v>114</v>
      </c>
      <c r="C3" s="0" t="s">
        <v>98</v>
      </c>
      <c r="D3" s="0" t="s">
        <v>330</v>
      </c>
      <c r="E3" s="0" t="s">
        <v>48</v>
      </c>
      <c r="F3" s="0" t="s">
        <v>331</v>
      </c>
      <c r="G3" s="0" t="s">
        <v>78</v>
      </c>
      <c r="H3" s="0" t="s">
        <v>330</v>
      </c>
      <c r="I3" s="0" t="s">
        <v>285</v>
      </c>
      <c r="J3" s="0" t="s">
        <v>332</v>
      </c>
    </row>
    <row r="4" customFormat="false" ht="15" hidden="false" customHeight="false" outlineLevel="0" collapsed="false">
      <c r="A4" s="0" t="s">
        <v>29</v>
      </c>
      <c r="B4" s="0" t="s">
        <v>119</v>
      </c>
      <c r="C4" s="0" t="s">
        <v>181</v>
      </c>
      <c r="D4" s="0" t="s">
        <v>333</v>
      </c>
      <c r="E4" s="0" t="s">
        <v>53</v>
      </c>
      <c r="F4" s="0" t="s">
        <v>334</v>
      </c>
      <c r="G4" s="0" t="s">
        <v>83</v>
      </c>
      <c r="H4" s="0" t="s">
        <v>335</v>
      </c>
      <c r="I4" s="0" t="s">
        <v>336</v>
      </c>
      <c r="J4" s="0" t="s">
        <v>337</v>
      </c>
    </row>
    <row r="5" customFormat="false" ht="15" hidden="false" customHeight="false" outlineLevel="0" collapsed="false">
      <c r="A5" s="0" t="s">
        <v>32</v>
      </c>
      <c r="B5" s="0" t="s">
        <v>28</v>
      </c>
      <c r="D5" s="0" t="s">
        <v>76</v>
      </c>
      <c r="F5" s="0" t="s">
        <v>338</v>
      </c>
      <c r="G5" s="0" t="s">
        <v>86</v>
      </c>
      <c r="H5" s="0" t="s">
        <v>339</v>
      </c>
      <c r="J5" s="0" t="s">
        <v>340</v>
      </c>
    </row>
    <row r="6" customFormat="false" ht="15" hidden="false" customHeight="false" outlineLevel="0" collapsed="false">
      <c r="A6" s="0" t="s">
        <v>6</v>
      </c>
      <c r="B6" s="0" t="s">
        <v>97</v>
      </c>
      <c r="D6" s="0" t="s">
        <v>341</v>
      </c>
      <c r="F6" s="0" t="s">
        <v>342</v>
      </c>
      <c r="G6" s="0" t="s">
        <v>91</v>
      </c>
      <c r="H6" s="0" t="s">
        <v>343</v>
      </c>
    </row>
    <row r="7" customFormat="false" ht="15" hidden="false" customHeight="false" outlineLevel="0" collapsed="false">
      <c r="A7" s="0" t="s">
        <v>34</v>
      </c>
      <c r="B7" s="0" t="s">
        <v>151</v>
      </c>
      <c r="F7" s="0" t="s">
        <v>344</v>
      </c>
      <c r="G7" s="0" t="s">
        <v>95</v>
      </c>
    </row>
    <row r="8" customFormat="false" ht="15" hidden="false" customHeight="false" outlineLevel="0" collapsed="false">
      <c r="A8" s="0" t="s">
        <v>36</v>
      </c>
      <c r="B8" s="0" t="s">
        <v>157</v>
      </c>
      <c r="F8" s="0" t="s">
        <v>345</v>
      </c>
      <c r="G8" s="0" t="s">
        <v>101</v>
      </c>
    </row>
    <row r="9" customFormat="false" ht="15" hidden="false" customHeight="false" outlineLevel="0" collapsed="false">
      <c r="B9" s="0" t="s">
        <v>161</v>
      </c>
      <c r="F9" s="0" t="s">
        <v>346</v>
      </c>
      <c r="G9" s="0" t="s">
        <v>105</v>
      </c>
    </row>
    <row r="10" customFormat="false" ht="15" hidden="false" customHeight="false" outlineLevel="0" collapsed="false">
      <c r="B10" s="0" t="s">
        <v>165</v>
      </c>
      <c r="F10" s="0" t="s">
        <v>347</v>
      </c>
      <c r="G10" s="0" t="s">
        <v>108</v>
      </c>
    </row>
    <row r="11" customFormat="false" ht="15" hidden="false" customHeight="false" outlineLevel="0" collapsed="false">
      <c r="B11" s="0" t="s">
        <v>31</v>
      </c>
      <c r="F11" s="0" t="s">
        <v>348</v>
      </c>
      <c r="G11" s="0" t="s">
        <v>112</v>
      </c>
    </row>
    <row r="12" customFormat="false" ht="15" hidden="false" customHeight="false" outlineLevel="0" collapsed="false">
      <c r="B12" s="0" t="s">
        <v>75</v>
      </c>
      <c r="F12" s="0" t="s">
        <v>77</v>
      </c>
      <c r="G12" s="0" t="s">
        <v>117</v>
      </c>
    </row>
    <row r="13" customFormat="false" ht="15" hidden="false" customHeight="false" outlineLevel="0" collapsed="false">
      <c r="B13" s="0" t="s">
        <v>134</v>
      </c>
      <c r="G13" s="0" t="s">
        <v>121</v>
      </c>
    </row>
    <row r="14" customFormat="false" ht="15" hidden="false" customHeight="false" outlineLevel="0" collapsed="false">
      <c r="B14" s="0" t="s">
        <v>33</v>
      </c>
      <c r="G14" s="0" t="s">
        <v>126</v>
      </c>
    </row>
    <row r="15" customFormat="false" ht="15" hidden="false" customHeight="false" outlineLevel="0" collapsed="false">
      <c r="B15" s="0" t="s">
        <v>7</v>
      </c>
      <c r="G15" s="0" t="s">
        <v>129</v>
      </c>
    </row>
    <row r="16" customFormat="false" ht="15" hidden="false" customHeight="false" outlineLevel="0" collapsed="false">
      <c r="B16" s="0" t="s">
        <v>35</v>
      </c>
      <c r="G16" s="0" t="s">
        <v>132</v>
      </c>
    </row>
    <row r="17" customFormat="false" ht="15" hidden="false" customHeight="false" outlineLevel="0" collapsed="false">
      <c r="B17" s="0" t="s">
        <v>37</v>
      </c>
      <c r="G17" s="0" t="s">
        <v>138</v>
      </c>
    </row>
    <row r="18" customFormat="false" ht="15" hidden="false" customHeight="false" outlineLevel="0" collapsed="false">
      <c r="G18" s="0" t="s">
        <v>142</v>
      </c>
    </row>
    <row r="19" customFormat="false" ht="15" hidden="false" customHeight="false" outlineLevel="0" collapsed="false">
      <c r="G19" s="0" t="s">
        <v>146</v>
      </c>
    </row>
    <row r="20" customFormat="false" ht="15" hidden="false" customHeight="false" outlineLevel="0" collapsed="false">
      <c r="G20" s="0" t="s">
        <v>149</v>
      </c>
    </row>
    <row r="21" customFormat="false" ht="15" hidden="false" customHeight="false" outlineLevel="0" collapsed="false">
      <c r="G21" s="0" t="s">
        <v>155</v>
      </c>
    </row>
    <row r="22" customFormat="false" ht="15" hidden="false" customHeight="false" outlineLevel="0" collapsed="false">
      <c r="G22" s="0" t="s">
        <v>159</v>
      </c>
    </row>
    <row r="23" customFormat="false" ht="15" hidden="false" customHeight="false" outlineLevel="0" collapsed="false">
      <c r="G23" s="0" t="s">
        <v>163</v>
      </c>
    </row>
    <row r="24" customFormat="false" ht="15" hidden="false" customHeight="false" outlineLevel="0" collapsed="false">
      <c r="G24" s="0" t="s">
        <v>167</v>
      </c>
    </row>
    <row r="25" customFormat="false" ht="15" hidden="false" customHeight="false" outlineLevel="0" collapsed="false">
      <c r="G25" s="0" t="s">
        <v>172</v>
      </c>
    </row>
    <row r="26" customFormat="false" ht="15" hidden="false" customHeight="false" outlineLevel="0" collapsed="false">
      <c r="G26" s="0" t="s">
        <v>176</v>
      </c>
    </row>
    <row r="27" customFormat="false" ht="15" hidden="false" customHeight="false" outlineLevel="0" collapsed="false">
      <c r="G27" s="0" t="s">
        <v>179</v>
      </c>
    </row>
    <row r="28" customFormat="false" ht="15" hidden="false" customHeight="false" outlineLevel="0" collapsed="false">
      <c r="G28" s="0" t="s">
        <v>184</v>
      </c>
    </row>
    <row r="29" customFormat="false" ht="15" hidden="false" customHeight="false" outlineLevel="0" collapsed="false">
      <c r="G29" s="0" t="s">
        <v>188</v>
      </c>
    </row>
    <row r="30" customFormat="false" ht="15" hidden="false" customHeight="false" outlineLevel="0" collapsed="false">
      <c r="G30" s="0" t="s">
        <v>191</v>
      </c>
    </row>
    <row r="31" customFormat="false" ht="15" hidden="false" customHeight="false" outlineLevel="0" collapsed="false">
      <c r="G31" s="0" t="s">
        <v>195</v>
      </c>
    </row>
    <row r="32" customFormat="false" ht="15" hidden="false" customHeight="false" outlineLevel="0" collapsed="false">
      <c r="G32" s="0" t="s">
        <v>199</v>
      </c>
    </row>
    <row r="33" customFormat="false" ht="15" hidden="false" customHeight="false" outlineLevel="0" collapsed="false">
      <c r="G33" s="0" t="s">
        <v>204</v>
      </c>
    </row>
    <row r="34" customFormat="false" ht="15" hidden="false" customHeight="false" outlineLevel="0" collapsed="false">
      <c r="G34" s="0" t="s">
        <v>209</v>
      </c>
    </row>
    <row r="35" customFormat="false" ht="15" hidden="false" customHeight="false" outlineLevel="0" collapsed="false">
      <c r="G35" s="0" t="s">
        <v>215</v>
      </c>
    </row>
    <row r="36" customFormat="false" ht="15" hidden="false" customHeight="false" outlineLevel="0" collapsed="false">
      <c r="G36" s="0" t="s">
        <v>219</v>
      </c>
    </row>
    <row r="37" customFormat="false" ht="15" hidden="false" customHeight="false" outlineLevel="0" collapsed="false">
      <c r="G37" s="0" t="s">
        <v>222</v>
      </c>
    </row>
    <row r="38" customFormat="false" ht="15" hidden="false" customHeight="false" outlineLevel="0" collapsed="false">
      <c r="G38" s="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2026-03-03T04:56:21Z</dcterms:created>
  <dc:creator>openpyxl</dc:creator>
  <dc:description/>
  <dc:language>en-US</dc:language>
  <cp:lastModifiedBy>Toản. Nguyễn Minh</cp:lastModifiedBy>
  <dcterms:modified xsi:type="dcterms:W3CDTF">2026-03-03T07:03:10Z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